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2" sheetId="3" r:id="rId7"/>
    <sheet state="visible" name="Bike" sheetId="4" r:id="rId8"/>
    <sheet state="visible" name="Sheet5" sheetId="5" r:id="rId9"/>
    <sheet state="visible" name="Sheet6" sheetId="6" r:id="rId10"/>
    <sheet state="visible" name="Sheet8" sheetId="7" r:id="rId11"/>
    <sheet state="visible" name="Sheet9" sheetId="8" r:id="rId12"/>
  </sheets>
  <definedNames/>
  <calcPr/>
</workbook>
</file>

<file path=xl/sharedStrings.xml><?xml version="1.0" encoding="utf-8"?>
<sst xmlns="http://schemas.openxmlformats.org/spreadsheetml/2006/main" count="472" uniqueCount="210">
  <si>
    <t>Date</t>
  </si>
  <si>
    <t>type</t>
  </si>
  <si>
    <t>Title</t>
  </si>
  <si>
    <t>Amount</t>
  </si>
  <si>
    <t>Name</t>
  </si>
  <si>
    <t>Divider</t>
  </si>
  <si>
    <t>Individual</t>
  </si>
  <si>
    <t>27-03-25</t>
  </si>
  <si>
    <t>Ajay</t>
  </si>
  <si>
    <t>28-03-25</t>
  </si>
  <si>
    <t>29-03-25</t>
  </si>
  <si>
    <t>Anukul</t>
  </si>
  <si>
    <t>Anubhav</t>
  </si>
  <si>
    <t>14-04-25</t>
  </si>
  <si>
    <t>27-04-25</t>
  </si>
  <si>
    <t>(kishika)</t>
  </si>
  <si>
    <t>23-05-25</t>
  </si>
  <si>
    <t>25-05-25</t>
  </si>
  <si>
    <t>divyank</t>
  </si>
  <si>
    <t>31-05-25</t>
  </si>
  <si>
    <t>16-06-25</t>
  </si>
  <si>
    <t>20-06-25</t>
  </si>
  <si>
    <t>21-06-26</t>
  </si>
  <si>
    <t>22-06-25</t>
  </si>
  <si>
    <t>p.p</t>
  </si>
  <si>
    <t>paid</t>
  </si>
  <si>
    <t>16-03-25</t>
  </si>
  <si>
    <t>Snacks</t>
  </si>
  <si>
    <t>21-03-25</t>
  </si>
  <si>
    <t>22-03-25</t>
  </si>
  <si>
    <t>23-03-25</t>
  </si>
  <si>
    <t>24-03-25</t>
  </si>
  <si>
    <t>25-03-25</t>
  </si>
  <si>
    <t>26-03-25</t>
  </si>
  <si>
    <t>30-03-25</t>
  </si>
  <si>
    <t>31-03-25</t>
  </si>
  <si>
    <t>15-04-25</t>
  </si>
  <si>
    <t>22-04-25</t>
  </si>
  <si>
    <t>26-04-25</t>
  </si>
  <si>
    <t>28-04-25</t>
  </si>
  <si>
    <t>13-05-25</t>
  </si>
  <si>
    <t>24-05-25</t>
  </si>
  <si>
    <t>21-06-25</t>
  </si>
  <si>
    <t>Jupyter Card</t>
  </si>
  <si>
    <t>16apr-16may</t>
  </si>
  <si>
    <t>Loan</t>
  </si>
  <si>
    <t>Divyank C
60000</t>
  </si>
  <si>
    <t>Apoorv S
63000</t>
  </si>
  <si>
    <t>ICICI</t>
  </si>
  <si>
    <t>July</t>
  </si>
  <si>
    <t>August</t>
  </si>
  <si>
    <t>September</t>
  </si>
  <si>
    <t>(expenses in Mum)</t>
  </si>
  <si>
    <t>October-Nov</t>
  </si>
  <si>
    <t>January</t>
  </si>
  <si>
    <t>man's cafe</t>
  </si>
  <si>
    <t>whiskey</t>
  </si>
  <si>
    <t>vat 69</t>
  </si>
  <si>
    <t>Apoorv</t>
  </si>
  <si>
    <t>vodka</t>
  </si>
  <si>
    <t>snacks</t>
  </si>
  <si>
    <t>breakfast</t>
  </si>
  <si>
    <t>Akshat</t>
  </si>
  <si>
    <t>bf -m</t>
  </si>
  <si>
    <t>auto</t>
  </si>
  <si>
    <t>tr ticket</t>
  </si>
  <si>
    <t>station -snacks</t>
  </si>
  <si>
    <t>kaalipeeli</t>
  </si>
  <si>
    <t>photo goi</t>
  </si>
  <si>
    <t>chinese bhel</t>
  </si>
  <si>
    <t>muesuem</t>
  </si>
  <si>
    <t>lemonade</t>
  </si>
  <si>
    <t>snacks-evening</t>
  </si>
  <si>
    <t>rustom ice cream</t>
  </si>
  <si>
    <t>beer cafe</t>
  </si>
  <si>
    <t>cab</t>
  </si>
  <si>
    <t>morning bf</t>
  </si>
  <si>
    <t>Indivdual</t>
  </si>
  <si>
    <t>dabeli</t>
  </si>
  <si>
    <t>amma's cafe</t>
  </si>
  <si>
    <t>auto to andheri w pvr - jolly llb3</t>
  </si>
  <si>
    <t>jolly llb3</t>
  </si>
  <si>
    <t>auto to guest h - jolly llb3</t>
  </si>
  <si>
    <t>swiggy</t>
  </si>
  <si>
    <t>food bf</t>
  </si>
  <si>
    <t>eat sure</t>
  </si>
  <si>
    <t>biryani lunch</t>
  </si>
  <si>
    <t>ola</t>
  </si>
  <si>
    <t>cab to marine dr</t>
  </si>
  <si>
    <t>water+rustom</t>
  </si>
  <si>
    <t>golgappe</t>
  </si>
  <si>
    <t>dinner</t>
  </si>
  <si>
    <t>Burger King+frankie</t>
  </si>
  <si>
    <t>Kantara - chapter 1</t>
  </si>
  <si>
    <t>return cab marine dr</t>
  </si>
  <si>
    <t>Instamart</t>
  </si>
  <si>
    <t xml:space="preserve">Divider 2 </t>
  </si>
  <si>
    <t>vada pao</t>
  </si>
  <si>
    <t>rapido from( pg to hotel)</t>
  </si>
  <si>
    <t xml:space="preserve">hotel - </t>
  </si>
  <si>
    <t>triple chowmein</t>
  </si>
  <si>
    <t>auto to juhu beach</t>
  </si>
  <si>
    <t>photo - beach juhu+baot ride</t>
  </si>
  <si>
    <t>chana jor garam - snacks
golgappe</t>
  </si>
  <si>
    <t>bakery
shwarma</t>
  </si>
  <si>
    <t>auto back to hotel</t>
  </si>
  <si>
    <t>old monk</t>
  </si>
  <si>
    <t>zepto snacks, order restaurant</t>
  </si>
  <si>
    <t>santra + coconut water</t>
  </si>
  <si>
    <t>auto back to pg</t>
  </si>
  <si>
    <t>morning bf vadapao</t>
  </si>
  <si>
    <t>andheri station auto,
railway fare,cabfare</t>
  </si>
  <si>
    <t>GoIndia photo</t>
  </si>
  <si>
    <t>marine dr cab</t>
  </si>
  <si>
    <t>rustom ice cream (cash)</t>
  </si>
  <si>
    <t>Beer Cafe</t>
  </si>
  <si>
    <t>Train</t>
  </si>
  <si>
    <t>Ticket booking agent</t>
  </si>
  <si>
    <t xml:space="preserve">tea+ shwarma </t>
  </si>
  <si>
    <t>old monk + beer(bottle) +chana(mix)
+snacks(mix)</t>
  </si>
  <si>
    <t>chicken(raw)</t>
  </si>
  <si>
    <t>fruits+water</t>
  </si>
  <si>
    <t>train</t>
  </si>
  <si>
    <t xml:space="preserve">oldmonk(half) </t>
  </si>
  <si>
    <t>water bottle(4)
+jam-jam+ tea(3) times</t>
  </si>
  <si>
    <t>ck grand to station</t>
  </si>
  <si>
    <t>taxi</t>
  </si>
  <si>
    <t>return from station to home</t>
  </si>
  <si>
    <t>patakhe</t>
  </si>
  <si>
    <t>Anaar</t>
  </si>
  <si>
    <t>from mum to burhanpur -Kolkata mail</t>
  </si>
  <si>
    <t>from mum to bau -LTT-kushinagar</t>
  </si>
  <si>
    <t>from bau to mum -pjb mail</t>
  </si>
  <si>
    <t>bf+lunch+movie+popcorn+snacks+chicken(raw)
+backbencher+topntown+</t>
  </si>
  <si>
    <t>seth sethani+petrol+beer+zomato+kinara+oldm
+topntown</t>
  </si>
  <si>
    <t>narial p + orange + oldm(hf+qr+qr) +top + chap+
nuts+water+cold</t>
  </si>
  <si>
    <t>diwali</t>
  </si>
  <si>
    <t>bushmils+chips+chap</t>
  </si>
  <si>
    <t>chips+chap</t>
  </si>
  <si>
    <t>cp</t>
  </si>
  <si>
    <t xml:space="preserve">wengers+cafe </t>
  </si>
  <si>
    <t>tikka+omlegend(full)</t>
  </si>
  <si>
    <t xml:space="preserve">Anukul </t>
  </si>
  <si>
    <t>chips</t>
  </si>
  <si>
    <t>newbrandtry(half)+momos+chips</t>
  </si>
  <si>
    <t xml:space="preserve">Anubhav </t>
  </si>
  <si>
    <t>IRCTC</t>
  </si>
  <si>
    <t>AutoPe</t>
  </si>
  <si>
    <t>New</t>
  </si>
  <si>
    <t>Delhi</t>
  </si>
  <si>
    <t>IN</t>
  </si>
  <si>
    <t>STAR</t>
  </si>
  <si>
    <t>BAZAAR</t>
  </si>
  <si>
    <t>PUNE</t>
  </si>
  <si>
    <t>AMAZON</t>
  </si>
  <si>
    <t>INDIA</t>
  </si>
  <si>
    <t>CYBS</t>
  </si>
  <si>
    <t>SI</t>
  </si>
  <si>
    <t>MUMBAI</t>
  </si>
  <si>
    <t>IBIBO</t>
  </si>
  <si>
    <t>GROUP</t>
  </si>
  <si>
    <t>PVT</t>
  </si>
  <si>
    <t>LTD</t>
  </si>
  <si>
    <t>GURGAON</t>
  </si>
  <si>
    <t>19/12/2025</t>
  </si>
  <si>
    <t>Razorpay</t>
  </si>
  <si>
    <t>Payments</t>
  </si>
  <si>
    <t>CR</t>
  </si>
  <si>
    <t>23/12/2025</t>
  </si>
  <si>
    <t>BBPS</t>
  </si>
  <si>
    <t>Payment</t>
  </si>
  <si>
    <t>received</t>
  </si>
  <si>
    <t>22/12/2025</t>
  </si>
  <si>
    <t>CLAUDE.AI</t>
  </si>
  <si>
    <t>SUBSCRIPTION</t>
  </si>
  <si>
    <t>24/12/2025</t>
  </si>
  <si>
    <t>26/12/2025</t>
  </si>
  <si>
    <t>25/12/2025</t>
  </si>
  <si>
    <t>PAY</t>
  </si>
  <si>
    <t>PRIVATET</t>
  </si>
  <si>
    <t>Bengaluru</t>
  </si>
  <si>
    <t>ZEPTO</t>
  </si>
  <si>
    <t>MARKETPLACE</t>
  </si>
  <si>
    <t>PRIVATE</t>
  </si>
  <si>
    <t>Bangalore</t>
  </si>
  <si>
    <t>RAZ*ONE</t>
  </si>
  <si>
    <t>MOBIKWIK</t>
  </si>
  <si>
    <t>SYSTE</t>
  </si>
  <si>
    <t>HTTPS://PLAY.</t>
  </si>
  <si>
    <t>ZOMATO</t>
  </si>
  <si>
    <t>NEW</t>
  </si>
  <si>
    <t>DELHI</t>
  </si>
  <si>
    <t>27/12/2025</t>
  </si>
  <si>
    <t>Fee</t>
  </si>
  <si>
    <t>on</t>
  </si>
  <si>
    <t>educational</t>
  </si>
  <si>
    <t>transaction</t>
  </si>
  <si>
    <t>IGST-CI@18%</t>
  </si>
  <si>
    <t>28/12/2025</t>
  </si>
  <si>
    <t>Interest</t>
  </si>
  <si>
    <t>Amortization</t>
  </si>
  <si>
    <t>-</t>
  </si>
  <si>
    <t>&lt;11/12&gt;RAZ*NEXXBASE</t>
  </si>
  <si>
    <t>Principal</t>
  </si>
  <si>
    <t>29/12/2025</t>
  </si>
  <si>
    <t>31/12/2025</t>
  </si>
  <si>
    <t>NETFLIX</t>
  </si>
  <si>
    <t>DI</t>
  </si>
  <si>
    <t>BLINKIT</t>
  </si>
  <si>
    <t>ECOM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</si>
</sst>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"/>
    <numFmt numFmtId="165" formatCode="m-d-yy"/>
    <numFmt numFmtId="166" formatCode="mm/d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D2" s="3">
        <v>1000.0</v>
      </c>
      <c r="E2" s="3" t="s">
        <v>8</v>
      </c>
      <c r="F2" s="3">
        <v>3.0</v>
      </c>
      <c r="G2" s="4">
        <f t="shared" ref="G2:G24" si="1">D2/F2</f>
        <v>333.3333333</v>
      </c>
    </row>
    <row r="3">
      <c r="A3" s="2" t="s">
        <v>9</v>
      </c>
      <c r="D3" s="3">
        <v>730.0</v>
      </c>
      <c r="E3" s="3" t="s">
        <v>8</v>
      </c>
      <c r="F3" s="3">
        <v>3.0</v>
      </c>
      <c r="G3" s="4">
        <f t="shared" si="1"/>
        <v>243.3333333</v>
      </c>
    </row>
    <row r="4">
      <c r="A4" s="2" t="s">
        <v>10</v>
      </c>
      <c r="D4" s="4">
        <f>830</f>
        <v>830</v>
      </c>
      <c r="E4" s="3" t="s">
        <v>11</v>
      </c>
      <c r="F4" s="3">
        <v>3.0</v>
      </c>
      <c r="G4" s="4">
        <f t="shared" si="1"/>
        <v>276.6666667</v>
      </c>
    </row>
    <row r="5">
      <c r="A5" s="2" t="s">
        <v>10</v>
      </c>
      <c r="D5" s="3">
        <v>605.0</v>
      </c>
      <c r="E5" s="3" t="s">
        <v>12</v>
      </c>
      <c r="F5" s="3">
        <v>3.0</v>
      </c>
      <c r="G5" s="4">
        <f t="shared" si="1"/>
        <v>201.6666667</v>
      </c>
    </row>
    <row r="6">
      <c r="A6" s="2" t="s">
        <v>13</v>
      </c>
      <c r="D6" s="3">
        <v>180.0</v>
      </c>
      <c r="E6" s="3" t="s">
        <v>12</v>
      </c>
      <c r="F6" s="3">
        <v>3.0</v>
      </c>
      <c r="G6" s="4">
        <f t="shared" si="1"/>
        <v>60</v>
      </c>
    </row>
    <row r="7">
      <c r="A7" s="2" t="s">
        <v>14</v>
      </c>
      <c r="D7" s="3">
        <v>3020.0</v>
      </c>
      <c r="E7" s="3" t="s">
        <v>12</v>
      </c>
      <c r="F7" s="3">
        <v>4.0</v>
      </c>
      <c r="G7" s="4">
        <f t="shared" si="1"/>
        <v>755</v>
      </c>
      <c r="J7" s="3" t="s">
        <v>15</v>
      </c>
    </row>
    <row r="8">
      <c r="A8" s="2" t="s">
        <v>14</v>
      </c>
      <c r="D8" s="3">
        <v>420.0</v>
      </c>
      <c r="E8" s="3" t="s">
        <v>11</v>
      </c>
      <c r="F8" s="3">
        <v>4.0</v>
      </c>
      <c r="G8" s="4">
        <f t="shared" si="1"/>
        <v>105</v>
      </c>
    </row>
    <row r="9">
      <c r="A9" s="2" t="s">
        <v>16</v>
      </c>
      <c r="D9" s="3">
        <v>326.0</v>
      </c>
      <c r="E9" s="3" t="s">
        <v>11</v>
      </c>
      <c r="F9" s="3">
        <v>3.0</v>
      </c>
      <c r="G9" s="4">
        <f t="shared" si="1"/>
        <v>108.6666667</v>
      </c>
    </row>
    <row r="10">
      <c r="A10" s="3" t="s">
        <v>17</v>
      </c>
      <c r="D10" s="3">
        <v>1050.0</v>
      </c>
      <c r="E10" s="3" t="s">
        <v>12</v>
      </c>
      <c r="F10" s="3">
        <v>3.0</v>
      </c>
      <c r="G10" s="4">
        <f t="shared" si="1"/>
        <v>350</v>
      </c>
    </row>
    <row r="11">
      <c r="A11" s="3" t="s">
        <v>17</v>
      </c>
      <c r="D11" s="3">
        <v>220.0</v>
      </c>
      <c r="E11" s="3" t="s">
        <v>11</v>
      </c>
      <c r="F11" s="3">
        <v>3.0</v>
      </c>
      <c r="G11" s="4">
        <f t="shared" si="1"/>
        <v>73.33333333</v>
      </c>
    </row>
    <row r="12">
      <c r="A12" s="3" t="s">
        <v>17</v>
      </c>
      <c r="D12" s="3">
        <v>160.0</v>
      </c>
      <c r="E12" s="3" t="s">
        <v>18</v>
      </c>
      <c r="F12" s="3">
        <v>3.0</v>
      </c>
      <c r="G12" s="4">
        <f t="shared" si="1"/>
        <v>53.33333333</v>
      </c>
      <c r="K12" s="3">
        <v>2745.0</v>
      </c>
    </row>
    <row r="13">
      <c r="A13" s="3" t="s">
        <v>19</v>
      </c>
      <c r="D13" s="4">
        <f>205+35+180+480+35</f>
        <v>935</v>
      </c>
      <c r="E13" s="3" t="s">
        <v>12</v>
      </c>
      <c r="F13" s="3">
        <v>4.0</v>
      </c>
      <c r="G13" s="4">
        <f t="shared" si="1"/>
        <v>233.75</v>
      </c>
    </row>
    <row r="14">
      <c r="A14" s="3" t="s">
        <v>19</v>
      </c>
      <c r="D14" s="3">
        <v>240.0</v>
      </c>
      <c r="E14" s="3" t="s">
        <v>11</v>
      </c>
      <c r="F14" s="3">
        <v>4.0</v>
      </c>
      <c r="G14" s="4">
        <f t="shared" si="1"/>
        <v>60</v>
      </c>
    </row>
    <row r="15">
      <c r="A15" s="5">
        <v>45814.0</v>
      </c>
      <c r="D15" s="4">
        <f>100+20</f>
        <v>120</v>
      </c>
      <c r="E15" s="3" t="s">
        <v>12</v>
      </c>
      <c r="F15" s="3">
        <v>3.0</v>
      </c>
      <c r="G15" s="4">
        <f t="shared" si="1"/>
        <v>40</v>
      </c>
    </row>
    <row r="16">
      <c r="A16" s="5">
        <v>45814.0</v>
      </c>
      <c r="D16" s="3">
        <v>1310.0</v>
      </c>
      <c r="E16" s="3" t="s">
        <v>12</v>
      </c>
      <c r="F16" s="3">
        <v>4.0</v>
      </c>
      <c r="G16" s="4">
        <f t="shared" si="1"/>
        <v>327.5</v>
      </c>
    </row>
    <row r="17">
      <c r="A17" s="5">
        <v>45814.0</v>
      </c>
      <c r="D17" s="3">
        <f>450+110+20</f>
        <v>580</v>
      </c>
      <c r="E17" s="3" t="s">
        <v>8</v>
      </c>
      <c r="F17" s="3">
        <v>3.0</v>
      </c>
      <c r="G17" s="4">
        <f t="shared" si="1"/>
        <v>193.3333333</v>
      </c>
      <c r="K17" s="3">
        <v>892.0</v>
      </c>
    </row>
    <row r="18">
      <c r="A18" s="5">
        <v>45814.0</v>
      </c>
      <c r="D18" s="3">
        <f>420+35+50+1490+20+20</f>
        <v>2035</v>
      </c>
      <c r="E18" s="3" t="s">
        <v>11</v>
      </c>
      <c r="F18" s="3">
        <v>3.0</v>
      </c>
      <c r="G18" s="4">
        <f t="shared" si="1"/>
        <v>678.3333333</v>
      </c>
    </row>
    <row r="19">
      <c r="A19" s="5">
        <v>45936.0</v>
      </c>
      <c r="D19" s="3">
        <v>275.0</v>
      </c>
      <c r="E19" s="3" t="s">
        <v>8</v>
      </c>
      <c r="F19" s="3">
        <v>4.0</v>
      </c>
      <c r="G19" s="4">
        <f t="shared" si="1"/>
        <v>68.75</v>
      </c>
    </row>
    <row r="20">
      <c r="A20" s="3" t="s">
        <v>20</v>
      </c>
      <c r="D20" s="3">
        <v>300.0</v>
      </c>
      <c r="E20" s="3" t="s">
        <v>12</v>
      </c>
      <c r="F20" s="3">
        <v>3.0</v>
      </c>
      <c r="G20" s="4">
        <f t="shared" si="1"/>
        <v>100</v>
      </c>
    </row>
    <row r="21">
      <c r="A21" s="3" t="s">
        <v>21</v>
      </c>
      <c r="D21" s="3">
        <v>536.0</v>
      </c>
      <c r="E21" s="3" t="s">
        <v>12</v>
      </c>
      <c r="F21" s="3">
        <v>3.0</v>
      </c>
      <c r="G21" s="4">
        <f t="shared" si="1"/>
        <v>178.6666667</v>
      </c>
    </row>
    <row r="22">
      <c r="A22" s="3" t="s">
        <v>22</v>
      </c>
      <c r="D22" s="4">
        <f>244+50</f>
        <v>294</v>
      </c>
      <c r="E22" s="3" t="s">
        <v>12</v>
      </c>
      <c r="F22" s="3">
        <v>3.0</v>
      </c>
      <c r="G22" s="4">
        <f t="shared" si="1"/>
        <v>98</v>
      </c>
    </row>
    <row r="23">
      <c r="A23" s="3" t="s">
        <v>23</v>
      </c>
      <c r="D23" s="3">
        <f>75+60</f>
        <v>135</v>
      </c>
      <c r="E23" s="3" t="s">
        <v>12</v>
      </c>
      <c r="F23" s="3">
        <v>3.0</v>
      </c>
      <c r="G23" s="4">
        <f t="shared" si="1"/>
        <v>45</v>
      </c>
    </row>
    <row r="24">
      <c r="A24" s="3" t="s">
        <v>23</v>
      </c>
      <c r="D24" s="4">
        <f>497</f>
        <v>497</v>
      </c>
      <c r="E24" s="3" t="s">
        <v>11</v>
      </c>
      <c r="F24" s="3">
        <v>3.0</v>
      </c>
      <c r="G24" s="4">
        <f t="shared" si="1"/>
        <v>165.6666667</v>
      </c>
    </row>
    <row r="32">
      <c r="E32" s="3" t="s">
        <v>8</v>
      </c>
      <c r="F32" s="3" t="s">
        <v>11</v>
      </c>
      <c r="G32" s="3" t="s">
        <v>12</v>
      </c>
    </row>
    <row r="33">
      <c r="D33" s="3" t="s">
        <v>24</v>
      </c>
      <c r="E33" s="3">
        <v>3941.0</v>
      </c>
      <c r="F33" s="3">
        <v>4749.0</v>
      </c>
      <c r="G33" s="3">
        <v>4749.0</v>
      </c>
    </row>
    <row r="34">
      <c r="D34" s="3" t="s">
        <v>25</v>
      </c>
      <c r="E34" s="3">
        <v>2585.0</v>
      </c>
      <c r="F34" s="3">
        <v>4568.0</v>
      </c>
      <c r="G34" s="3">
        <v>8485.0</v>
      </c>
    </row>
    <row r="35">
      <c r="E35" s="3">
        <v>1000.0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26</v>
      </c>
      <c r="B2" s="3" t="s">
        <v>27</v>
      </c>
      <c r="D2" s="3">
        <v>140.0</v>
      </c>
      <c r="E2" s="3" t="s">
        <v>12</v>
      </c>
      <c r="F2" s="3">
        <v>2.0</v>
      </c>
      <c r="G2" s="4">
        <f t="shared" ref="G2:G38" si="1">D2/F2</f>
        <v>70</v>
      </c>
    </row>
    <row r="3">
      <c r="A3" s="2" t="s">
        <v>26</v>
      </c>
      <c r="D3" s="3">
        <v>300.0</v>
      </c>
      <c r="E3" s="3" t="s">
        <v>11</v>
      </c>
      <c r="F3" s="3">
        <v>2.0</v>
      </c>
      <c r="G3" s="4">
        <f t="shared" si="1"/>
        <v>150</v>
      </c>
    </row>
    <row r="4">
      <c r="A4" s="2" t="s">
        <v>28</v>
      </c>
      <c r="D4" s="3">
        <v>90.0</v>
      </c>
      <c r="E4" s="3" t="s">
        <v>12</v>
      </c>
      <c r="F4" s="3">
        <v>2.0</v>
      </c>
      <c r="G4" s="4">
        <f t="shared" si="1"/>
        <v>45</v>
      </c>
    </row>
    <row r="5">
      <c r="A5" s="2" t="s">
        <v>28</v>
      </c>
      <c r="D5" s="3">
        <v>760.0</v>
      </c>
      <c r="E5" s="3" t="s">
        <v>11</v>
      </c>
      <c r="F5" s="3">
        <v>2.0</v>
      </c>
      <c r="G5" s="4">
        <f t="shared" si="1"/>
        <v>380</v>
      </c>
    </row>
    <row r="6">
      <c r="A6" s="2" t="s">
        <v>29</v>
      </c>
      <c r="D6" s="3">
        <v>420.0</v>
      </c>
      <c r="E6" s="3" t="s">
        <v>11</v>
      </c>
      <c r="F6" s="3">
        <v>2.0</v>
      </c>
      <c r="G6" s="4">
        <f t="shared" si="1"/>
        <v>210</v>
      </c>
    </row>
    <row r="7">
      <c r="A7" s="2" t="s">
        <v>30</v>
      </c>
      <c r="D7" s="3">
        <v>20.0</v>
      </c>
      <c r="E7" s="3" t="s">
        <v>12</v>
      </c>
      <c r="F7" s="3">
        <v>2.0</v>
      </c>
      <c r="G7" s="4">
        <f t="shared" si="1"/>
        <v>10</v>
      </c>
    </row>
    <row r="8">
      <c r="A8" s="2" t="s">
        <v>30</v>
      </c>
      <c r="D8" s="3">
        <v>1321.0</v>
      </c>
      <c r="E8" s="3" t="s">
        <v>11</v>
      </c>
      <c r="F8" s="3">
        <v>2.0</v>
      </c>
      <c r="G8" s="4">
        <f t="shared" si="1"/>
        <v>660.5</v>
      </c>
    </row>
    <row r="9">
      <c r="A9" s="2" t="s">
        <v>31</v>
      </c>
      <c r="D9" s="3">
        <v>134.0</v>
      </c>
      <c r="E9" s="3" t="s">
        <v>12</v>
      </c>
      <c r="F9" s="3">
        <v>2.0</v>
      </c>
      <c r="G9" s="4">
        <f t="shared" si="1"/>
        <v>67</v>
      </c>
    </row>
    <row r="10">
      <c r="A10" s="2" t="s">
        <v>31</v>
      </c>
      <c r="D10" s="3">
        <v>510.0</v>
      </c>
      <c r="E10" s="3" t="s">
        <v>11</v>
      </c>
      <c r="F10" s="3">
        <v>2.0</v>
      </c>
      <c r="G10" s="4">
        <f t="shared" si="1"/>
        <v>255</v>
      </c>
    </row>
    <row r="11">
      <c r="A11" s="2" t="s">
        <v>32</v>
      </c>
      <c r="D11" s="3">
        <v>425.0</v>
      </c>
      <c r="E11" s="3" t="s">
        <v>12</v>
      </c>
      <c r="F11" s="3">
        <v>2.0</v>
      </c>
      <c r="G11" s="4">
        <f t="shared" si="1"/>
        <v>212.5</v>
      </c>
    </row>
    <row r="12">
      <c r="A12" s="2" t="s">
        <v>33</v>
      </c>
      <c r="D12" s="3">
        <v>600.0</v>
      </c>
      <c r="E12" s="3" t="s">
        <v>11</v>
      </c>
      <c r="F12" s="3">
        <v>2.0</v>
      </c>
      <c r="G12" s="4">
        <f t="shared" si="1"/>
        <v>300</v>
      </c>
    </row>
    <row r="13">
      <c r="A13" s="2" t="s">
        <v>10</v>
      </c>
      <c r="D13" s="3">
        <f>290</f>
        <v>290</v>
      </c>
      <c r="E13" s="3" t="s">
        <v>11</v>
      </c>
      <c r="F13" s="3">
        <v>2.0</v>
      </c>
      <c r="G13" s="4">
        <f t="shared" si="1"/>
        <v>145</v>
      </c>
    </row>
    <row r="14">
      <c r="A14" s="2" t="s">
        <v>34</v>
      </c>
      <c r="D14" s="3">
        <v>93.0</v>
      </c>
      <c r="E14" s="3" t="s">
        <v>11</v>
      </c>
      <c r="F14" s="3">
        <v>2.0</v>
      </c>
      <c r="G14" s="4">
        <f t="shared" si="1"/>
        <v>46.5</v>
      </c>
    </row>
    <row r="15">
      <c r="A15" s="2" t="s">
        <v>35</v>
      </c>
      <c r="D15" s="3">
        <v>1130.0</v>
      </c>
      <c r="E15" s="3" t="s">
        <v>12</v>
      </c>
      <c r="F15" s="3">
        <v>2.0</v>
      </c>
      <c r="G15" s="4">
        <f t="shared" si="1"/>
        <v>565</v>
      </c>
    </row>
    <row r="16">
      <c r="A16" s="5">
        <v>45661.0</v>
      </c>
      <c r="D16" s="3">
        <v>415.0</v>
      </c>
      <c r="E16" s="3" t="s">
        <v>11</v>
      </c>
      <c r="F16" s="3">
        <v>2.0</v>
      </c>
      <c r="G16" s="4">
        <f t="shared" si="1"/>
        <v>207.5</v>
      </c>
    </row>
    <row r="17">
      <c r="A17" s="2" t="s">
        <v>36</v>
      </c>
      <c r="D17" s="3">
        <v>850.0</v>
      </c>
      <c r="E17" s="3" t="s">
        <v>11</v>
      </c>
      <c r="F17" s="3">
        <v>2.0</v>
      </c>
      <c r="G17" s="4">
        <f t="shared" si="1"/>
        <v>425</v>
      </c>
    </row>
    <row r="18">
      <c r="A18" s="2" t="s">
        <v>37</v>
      </c>
      <c r="D18" s="3">
        <v>100.0</v>
      </c>
      <c r="E18" s="3" t="s">
        <v>12</v>
      </c>
      <c r="F18" s="3">
        <v>2.0</v>
      </c>
      <c r="G18" s="4">
        <f t="shared" si="1"/>
        <v>50</v>
      </c>
    </row>
    <row r="19">
      <c r="A19" s="2" t="s">
        <v>37</v>
      </c>
      <c r="D19" s="3">
        <v>110.0</v>
      </c>
      <c r="E19" s="3" t="s">
        <v>11</v>
      </c>
      <c r="F19" s="3">
        <v>2.0</v>
      </c>
      <c r="G19" s="4">
        <f t="shared" si="1"/>
        <v>55</v>
      </c>
    </row>
    <row r="20">
      <c r="A20" s="2" t="s">
        <v>38</v>
      </c>
      <c r="D20" s="3">
        <v>590.0</v>
      </c>
      <c r="E20" s="3" t="s">
        <v>12</v>
      </c>
      <c r="F20" s="3">
        <v>2.0</v>
      </c>
      <c r="G20" s="4">
        <f t="shared" si="1"/>
        <v>295</v>
      </c>
    </row>
    <row r="21">
      <c r="A21" s="2" t="s">
        <v>14</v>
      </c>
      <c r="D21" s="3">
        <v>310.0</v>
      </c>
      <c r="E21" s="3" t="s">
        <v>12</v>
      </c>
      <c r="F21" s="3">
        <v>2.0</v>
      </c>
      <c r="G21" s="4">
        <f t="shared" si="1"/>
        <v>155</v>
      </c>
    </row>
    <row r="22">
      <c r="A22" s="2" t="s">
        <v>14</v>
      </c>
      <c r="D22" s="3">
        <v>140.0</v>
      </c>
      <c r="E22" s="3" t="s">
        <v>11</v>
      </c>
      <c r="F22" s="3">
        <v>2.0</v>
      </c>
      <c r="G22" s="4">
        <f t="shared" si="1"/>
        <v>70</v>
      </c>
    </row>
    <row r="23">
      <c r="A23" s="2" t="s">
        <v>39</v>
      </c>
      <c r="D23" s="3">
        <v>375.0</v>
      </c>
      <c r="E23" s="3" t="s">
        <v>12</v>
      </c>
      <c r="F23" s="3">
        <v>2.0</v>
      </c>
      <c r="G23" s="4">
        <f t="shared" si="1"/>
        <v>187.5</v>
      </c>
    </row>
    <row r="24">
      <c r="A24" s="2" t="s">
        <v>39</v>
      </c>
      <c r="D24" s="3">
        <v>310.0</v>
      </c>
      <c r="E24" s="3" t="s">
        <v>11</v>
      </c>
      <c r="F24" s="3">
        <v>2.0</v>
      </c>
      <c r="G24" s="4">
        <f t="shared" si="1"/>
        <v>155</v>
      </c>
    </row>
    <row r="25">
      <c r="A25" s="5">
        <v>45752.0</v>
      </c>
      <c r="D25" s="3">
        <v>795.0</v>
      </c>
      <c r="E25" s="3" t="s">
        <v>12</v>
      </c>
      <c r="F25" s="3">
        <v>2.0</v>
      </c>
      <c r="G25" s="4">
        <f t="shared" si="1"/>
        <v>397.5</v>
      </c>
    </row>
    <row r="26">
      <c r="A26" s="5">
        <v>45752.0</v>
      </c>
      <c r="D26" s="3">
        <v>1184.0</v>
      </c>
      <c r="E26" s="3" t="s">
        <v>11</v>
      </c>
      <c r="F26" s="3">
        <v>2.0</v>
      </c>
      <c r="G26" s="4">
        <f t="shared" si="1"/>
        <v>592</v>
      </c>
    </row>
    <row r="27">
      <c r="A27" s="5">
        <v>45782.0</v>
      </c>
      <c r="D27" s="3">
        <v>1254.0</v>
      </c>
      <c r="E27" s="3" t="s">
        <v>12</v>
      </c>
      <c r="F27" s="3">
        <v>2.0</v>
      </c>
      <c r="G27" s="4">
        <f t="shared" si="1"/>
        <v>627</v>
      </c>
    </row>
    <row r="28">
      <c r="A28" s="6"/>
      <c r="D28" s="3">
        <v>110.0</v>
      </c>
      <c r="E28" s="3" t="s">
        <v>12</v>
      </c>
      <c r="F28" s="3">
        <v>2.0</v>
      </c>
      <c r="G28" s="4">
        <f t="shared" si="1"/>
        <v>55</v>
      </c>
    </row>
    <row r="29">
      <c r="A29" s="2" t="s">
        <v>40</v>
      </c>
      <c r="D29" s="3">
        <v>500.0</v>
      </c>
      <c r="E29" s="3" t="s">
        <v>12</v>
      </c>
      <c r="F29" s="3">
        <v>2.0</v>
      </c>
      <c r="G29" s="4">
        <f t="shared" si="1"/>
        <v>250</v>
      </c>
    </row>
    <row r="30">
      <c r="A30" s="2" t="s">
        <v>40</v>
      </c>
      <c r="D30" s="3">
        <v>60.0</v>
      </c>
      <c r="E30" s="3" t="s">
        <v>11</v>
      </c>
      <c r="F30" s="3">
        <v>2.0</v>
      </c>
      <c r="G30" s="4">
        <f t="shared" si="1"/>
        <v>30</v>
      </c>
    </row>
    <row r="31">
      <c r="A31" s="2" t="s">
        <v>16</v>
      </c>
      <c r="D31" s="3">
        <v>20.0</v>
      </c>
      <c r="E31" s="3" t="s">
        <v>12</v>
      </c>
      <c r="F31" s="3">
        <v>2.0</v>
      </c>
      <c r="G31" s="4">
        <f t="shared" si="1"/>
        <v>10</v>
      </c>
    </row>
    <row r="32">
      <c r="A32" s="2" t="s">
        <v>16</v>
      </c>
      <c r="D32" s="3">
        <v>520.0</v>
      </c>
      <c r="E32" s="3" t="s">
        <v>11</v>
      </c>
      <c r="F32" s="3">
        <v>2.0</v>
      </c>
      <c r="G32" s="4">
        <f t="shared" si="1"/>
        <v>260</v>
      </c>
    </row>
    <row r="33">
      <c r="A33" s="2" t="s">
        <v>41</v>
      </c>
      <c r="D33" s="3">
        <v>1468.0</v>
      </c>
      <c r="E33" s="3" t="s">
        <v>11</v>
      </c>
      <c r="F33" s="3">
        <v>2.0</v>
      </c>
      <c r="G33" s="4">
        <f t="shared" si="1"/>
        <v>734</v>
      </c>
    </row>
    <row r="34">
      <c r="A34" s="5">
        <v>45875.0</v>
      </c>
      <c r="D34" s="3">
        <v>100.0</v>
      </c>
      <c r="E34" s="3" t="s">
        <v>12</v>
      </c>
      <c r="F34" s="3">
        <v>2.0</v>
      </c>
      <c r="G34" s="4">
        <f t="shared" si="1"/>
        <v>50</v>
      </c>
    </row>
    <row r="35">
      <c r="A35" s="5">
        <v>45875.0</v>
      </c>
      <c r="D35" s="3">
        <v>30.0</v>
      </c>
      <c r="E35" s="3" t="s">
        <v>11</v>
      </c>
      <c r="F35" s="3">
        <v>2.0</v>
      </c>
      <c r="G35" s="4">
        <f t="shared" si="1"/>
        <v>15</v>
      </c>
    </row>
    <row r="36">
      <c r="A36" s="5">
        <v>45906.0</v>
      </c>
      <c r="D36" s="3">
        <v>150.0</v>
      </c>
      <c r="E36" s="3" t="s">
        <v>12</v>
      </c>
      <c r="F36" s="3">
        <v>2.0</v>
      </c>
      <c r="G36" s="4">
        <f t="shared" si="1"/>
        <v>75</v>
      </c>
    </row>
    <row r="37">
      <c r="A37" s="3" t="s">
        <v>20</v>
      </c>
      <c r="D37" s="3">
        <f>165+60+118+110</f>
        <v>453</v>
      </c>
      <c r="E37" s="3" t="s">
        <v>12</v>
      </c>
      <c r="F37" s="3">
        <v>2.0</v>
      </c>
      <c r="G37" s="4">
        <f t="shared" si="1"/>
        <v>226.5</v>
      </c>
    </row>
    <row r="38">
      <c r="A38" s="3" t="s">
        <v>42</v>
      </c>
      <c r="D38" s="3">
        <f>300+90+100+190</f>
        <v>680</v>
      </c>
      <c r="E38" s="3" t="s">
        <v>12</v>
      </c>
      <c r="F38" s="3">
        <v>2.0</v>
      </c>
      <c r="G38" s="4">
        <f t="shared" si="1"/>
        <v>340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3" t="s">
        <v>43</v>
      </c>
    </row>
    <row r="2">
      <c r="A2" s="3" t="s">
        <v>44</v>
      </c>
    </row>
    <row r="3">
      <c r="A3" s="3">
        <v>30.0</v>
      </c>
    </row>
    <row r="4">
      <c r="A4" s="3">
        <v>20.0</v>
      </c>
    </row>
    <row r="5">
      <c r="A5" s="3">
        <v>10.0</v>
      </c>
    </row>
    <row r="6">
      <c r="A6" s="3">
        <v>324.0</v>
      </c>
    </row>
    <row r="7">
      <c r="A7" s="3">
        <v>54.0</v>
      </c>
    </row>
    <row r="8">
      <c r="A8" s="3">
        <v>20.0</v>
      </c>
    </row>
    <row r="9">
      <c r="A9" s="3">
        <v>3.0</v>
      </c>
    </row>
    <row r="10">
      <c r="A10" s="3">
        <v>40.0</v>
      </c>
    </row>
    <row r="11">
      <c r="A11" s="3">
        <v>90.0</v>
      </c>
    </row>
    <row r="12">
      <c r="A12" s="3">
        <v>1390.0</v>
      </c>
    </row>
    <row r="13">
      <c r="A13" s="3">
        <v>50.0</v>
      </c>
    </row>
    <row r="14">
      <c r="A14" s="3">
        <v>200.0</v>
      </c>
    </row>
    <row r="15">
      <c r="A15" s="3">
        <v>140.0</v>
      </c>
    </row>
    <row r="16">
      <c r="A16" s="3">
        <v>206.0</v>
      </c>
    </row>
    <row r="17">
      <c r="A17" s="3">
        <v>24.0</v>
      </c>
    </row>
    <row r="18">
      <c r="A18" s="3">
        <v>10.0</v>
      </c>
    </row>
    <row r="19">
      <c r="A19" s="3">
        <v>448.0</v>
      </c>
    </row>
    <row r="20">
      <c r="A20" s="3">
        <v>20.0</v>
      </c>
    </row>
    <row r="21">
      <c r="A21" s="3">
        <v>121.0</v>
      </c>
    </row>
    <row r="22">
      <c r="A22" s="3">
        <v>40.0</v>
      </c>
    </row>
    <row r="23">
      <c r="A23" s="3">
        <v>1199.0</v>
      </c>
    </row>
    <row r="24">
      <c r="A24" s="3">
        <v>380.0</v>
      </c>
    </row>
    <row r="25">
      <c r="A25" s="3">
        <v>40.0</v>
      </c>
    </row>
    <row r="26">
      <c r="A26" s="3">
        <v>24.0</v>
      </c>
    </row>
    <row r="27">
      <c r="A27" s="3">
        <v>40.0</v>
      </c>
    </row>
    <row r="28">
      <c r="A28" s="3">
        <v>100.0</v>
      </c>
    </row>
    <row r="29">
      <c r="A29" s="3">
        <v>125.0</v>
      </c>
    </row>
    <row r="30">
      <c r="A30" s="3">
        <v>10.0</v>
      </c>
    </row>
    <row r="31">
      <c r="A31" s="3">
        <v>130.0</v>
      </c>
    </row>
    <row r="32">
      <c r="A32" s="3">
        <v>550.0</v>
      </c>
    </row>
    <row r="33">
      <c r="A33" s="3">
        <v>20.0</v>
      </c>
    </row>
    <row r="34">
      <c r="A34" s="3">
        <v>5000.0</v>
      </c>
    </row>
    <row r="35">
      <c r="A35" s="3">
        <v>20.0</v>
      </c>
    </row>
    <row r="36">
      <c r="A36" s="3">
        <v>10.0</v>
      </c>
    </row>
    <row r="37">
      <c r="A37" s="3">
        <v>45.0</v>
      </c>
    </row>
    <row r="38">
      <c r="A38" s="3">
        <v>30.0</v>
      </c>
    </row>
    <row r="39">
      <c r="A39" s="3">
        <v>90.0</v>
      </c>
    </row>
    <row r="40">
      <c r="A40" s="3">
        <v>90.0</v>
      </c>
    </row>
    <row r="41">
      <c r="A41" s="3">
        <v>104.0</v>
      </c>
    </row>
    <row r="42">
      <c r="A42" s="3">
        <v>100.0</v>
      </c>
    </row>
    <row r="43">
      <c r="A43" s="3">
        <v>20.0</v>
      </c>
    </row>
    <row r="44">
      <c r="A44" s="3">
        <v>100.0</v>
      </c>
    </row>
    <row r="45">
      <c r="A45" s="3">
        <v>90.0</v>
      </c>
    </row>
    <row r="46">
      <c r="A46" s="3">
        <v>250.0</v>
      </c>
    </row>
    <row r="47">
      <c r="A47" s="3">
        <v>270.0</v>
      </c>
    </row>
    <row r="48">
      <c r="A48" s="3">
        <v>914.0</v>
      </c>
    </row>
    <row r="49">
      <c r="A49" s="3">
        <v>213.0</v>
      </c>
    </row>
    <row r="50">
      <c r="A50" s="3">
        <v>20.0</v>
      </c>
    </row>
    <row r="51">
      <c r="A51" s="3">
        <v>40.0</v>
      </c>
    </row>
    <row r="52">
      <c r="A52" s="3">
        <v>70.0</v>
      </c>
    </row>
    <row r="53">
      <c r="A53" s="3">
        <v>2.0</v>
      </c>
    </row>
    <row r="54">
      <c r="A54" s="3">
        <v>40.0</v>
      </c>
    </row>
    <row r="55">
      <c r="A55" s="3">
        <v>40.0</v>
      </c>
    </row>
    <row r="56">
      <c r="A56" s="3">
        <v>10.0</v>
      </c>
    </row>
    <row r="57">
      <c r="A57" s="3">
        <v>5.0</v>
      </c>
    </row>
    <row r="58">
      <c r="A58" s="3">
        <v>200.0</v>
      </c>
    </row>
    <row r="59">
      <c r="A59" s="3">
        <v>80.0</v>
      </c>
    </row>
    <row r="60">
      <c r="A60" s="3">
        <v>10.0</v>
      </c>
    </row>
    <row r="61">
      <c r="A61" s="3">
        <v>10.0</v>
      </c>
    </row>
    <row r="62">
      <c r="A62" s="3">
        <v>50.0</v>
      </c>
    </row>
    <row r="63">
      <c r="A63" s="3">
        <v>5.0</v>
      </c>
    </row>
    <row r="64">
      <c r="A64" s="3">
        <v>30.0</v>
      </c>
    </row>
    <row r="65">
      <c r="A65" s="3">
        <v>160.0</v>
      </c>
    </row>
    <row r="66">
      <c r="A66" s="3">
        <v>40.0</v>
      </c>
    </row>
    <row r="67">
      <c r="A67" s="3">
        <v>50.0</v>
      </c>
    </row>
    <row r="68">
      <c r="A68" s="3">
        <v>528.0</v>
      </c>
    </row>
    <row r="69">
      <c r="A69" s="3">
        <v>60.0</v>
      </c>
    </row>
    <row r="70">
      <c r="A70" s="3">
        <v>30.0</v>
      </c>
    </row>
    <row r="71">
      <c r="A71" s="3">
        <v>10.0</v>
      </c>
    </row>
    <row r="72">
      <c r="A72" s="3">
        <f>SUM(A3:A71)</f>
        <v>14694</v>
      </c>
      <c r="B72" s="3">
        <v>9500.0</v>
      </c>
    </row>
    <row r="73">
      <c r="A73" s="4">
        <f>A72-B72</f>
        <v>5194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18.25"/>
  </cols>
  <sheetData>
    <row r="1">
      <c r="A1" s="7"/>
    </row>
    <row r="2">
      <c r="A2" s="8"/>
      <c r="B2" s="8"/>
      <c r="C2" s="8"/>
    </row>
    <row r="3">
      <c r="A3" s="8"/>
      <c r="B3" s="8"/>
      <c r="C3" s="8"/>
    </row>
    <row r="6">
      <c r="A6" s="8"/>
      <c r="B6" s="8"/>
      <c r="C6" s="8"/>
    </row>
    <row r="7">
      <c r="A7" s="8"/>
      <c r="B7" s="8"/>
      <c r="C7" s="8"/>
    </row>
    <row r="11">
      <c r="A11" s="3" t="s">
        <v>45</v>
      </c>
      <c r="B11" s="3" t="s">
        <v>46</v>
      </c>
      <c r="C11" s="3" t="s">
        <v>47</v>
      </c>
      <c r="E11" s="3" t="s">
        <v>48</v>
      </c>
    </row>
    <row r="12">
      <c r="A12" s="8" t="s">
        <v>49</v>
      </c>
      <c r="B12" s="8">
        <v>8000.0</v>
      </c>
      <c r="C12" s="9">
        <v>9000.0</v>
      </c>
    </row>
    <row r="13">
      <c r="A13" s="3" t="s">
        <v>50</v>
      </c>
      <c r="B13" s="8">
        <v>9000.0</v>
      </c>
    </row>
    <row r="14">
      <c r="A14" s="3" t="s">
        <v>51</v>
      </c>
      <c r="B14" s="8">
        <v>9800.0</v>
      </c>
      <c r="C14" s="3">
        <v>9358.0</v>
      </c>
      <c r="D14" s="3" t="s">
        <v>52</v>
      </c>
    </row>
    <row r="15">
      <c r="A15" s="3" t="s">
        <v>50</v>
      </c>
      <c r="B15" s="3">
        <v>20000.0</v>
      </c>
      <c r="C15" s="3">
        <v>4814.0</v>
      </c>
    </row>
    <row r="16">
      <c r="A16" s="3" t="s">
        <v>53</v>
      </c>
      <c r="B16" s="3">
        <v>1700.0</v>
      </c>
      <c r="C16" s="3">
        <v>15000.0</v>
      </c>
    </row>
    <row r="17">
      <c r="A17" s="3" t="s">
        <v>54</v>
      </c>
      <c r="B17" s="3">
        <v>6500.0</v>
      </c>
      <c r="C17" s="3">
        <v>4828.0</v>
      </c>
    </row>
    <row r="18">
      <c r="C18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0">
        <v>45726.0</v>
      </c>
      <c r="C2" s="3" t="s">
        <v>55</v>
      </c>
      <c r="D2" s="3">
        <v>380.0</v>
      </c>
      <c r="E2" s="3" t="s">
        <v>11</v>
      </c>
      <c r="F2" s="3">
        <v>3.0</v>
      </c>
      <c r="G2" s="4">
        <f t="shared" ref="G2:G21" si="1">D2/F2</f>
        <v>126.6666667</v>
      </c>
    </row>
    <row r="3">
      <c r="A3" s="10">
        <v>45726.0</v>
      </c>
      <c r="B3" s="3" t="s">
        <v>56</v>
      </c>
      <c r="C3" s="3" t="s">
        <v>57</v>
      </c>
      <c r="D3" s="3">
        <f>1395</f>
        <v>1395</v>
      </c>
      <c r="E3" s="3" t="s">
        <v>58</v>
      </c>
      <c r="F3" s="3">
        <v>3.0</v>
      </c>
      <c r="G3" s="4">
        <f t="shared" si="1"/>
        <v>465</v>
      </c>
    </row>
    <row r="4">
      <c r="A4" s="10">
        <v>45726.0</v>
      </c>
      <c r="B4" s="3"/>
      <c r="C4" s="3" t="s">
        <v>59</v>
      </c>
      <c r="D4" s="3">
        <v>810.0</v>
      </c>
      <c r="E4" s="3" t="s">
        <v>11</v>
      </c>
      <c r="F4" s="3">
        <v>3.0</v>
      </c>
      <c r="G4" s="4">
        <f t="shared" si="1"/>
        <v>270</v>
      </c>
    </row>
    <row r="5">
      <c r="A5" s="10">
        <v>45726.0</v>
      </c>
      <c r="C5" s="3" t="s">
        <v>60</v>
      </c>
      <c r="D5" s="3">
        <v>300.0</v>
      </c>
      <c r="E5" s="3" t="s">
        <v>58</v>
      </c>
      <c r="F5" s="3">
        <v>3.0</v>
      </c>
      <c r="G5" s="4">
        <f t="shared" si="1"/>
        <v>100</v>
      </c>
    </row>
    <row r="6">
      <c r="A6" s="10">
        <v>45757.0</v>
      </c>
      <c r="C6" s="3" t="s">
        <v>61</v>
      </c>
      <c r="D6" s="3">
        <v>45.0</v>
      </c>
      <c r="E6" s="3" t="s">
        <v>62</v>
      </c>
      <c r="F6" s="3">
        <v>3.0</v>
      </c>
      <c r="G6" s="4">
        <f t="shared" si="1"/>
        <v>15</v>
      </c>
    </row>
    <row r="7">
      <c r="A7" s="10">
        <v>45757.0</v>
      </c>
      <c r="C7" s="3" t="s">
        <v>63</v>
      </c>
      <c r="D7" s="3">
        <v>100.0</v>
      </c>
      <c r="E7" s="3" t="s">
        <v>11</v>
      </c>
      <c r="F7" s="3">
        <v>3.0</v>
      </c>
      <c r="G7" s="4">
        <f t="shared" si="1"/>
        <v>33.33333333</v>
      </c>
    </row>
    <row r="8">
      <c r="A8" s="10">
        <v>45757.0</v>
      </c>
      <c r="C8" s="3" t="s">
        <v>64</v>
      </c>
      <c r="D8" s="3">
        <v>50.0</v>
      </c>
      <c r="E8" s="3" t="s">
        <v>62</v>
      </c>
      <c r="F8" s="3">
        <v>3.0</v>
      </c>
      <c r="G8" s="4">
        <f t="shared" si="1"/>
        <v>16.66666667</v>
      </c>
    </row>
    <row r="9">
      <c r="A9" s="10">
        <v>45757.0</v>
      </c>
      <c r="C9" s="3" t="s">
        <v>65</v>
      </c>
      <c r="D9" s="3">
        <v>30.0</v>
      </c>
      <c r="E9" s="3" t="s">
        <v>58</v>
      </c>
      <c r="F9" s="3">
        <v>3.0</v>
      </c>
      <c r="G9" s="4">
        <f t="shared" si="1"/>
        <v>10</v>
      </c>
    </row>
    <row r="10">
      <c r="A10" s="10">
        <v>45757.0</v>
      </c>
      <c r="C10" s="3" t="s">
        <v>66</v>
      </c>
      <c r="D10" s="3">
        <v>240.0</v>
      </c>
      <c r="E10" s="3" t="s">
        <v>62</v>
      </c>
      <c r="F10" s="3">
        <v>3.0</v>
      </c>
      <c r="G10" s="4">
        <f t="shared" si="1"/>
        <v>80</v>
      </c>
    </row>
    <row r="11">
      <c r="A11" s="10">
        <v>45757.0</v>
      </c>
      <c r="C11" s="3" t="s">
        <v>67</v>
      </c>
      <c r="D11" s="3">
        <v>90.0</v>
      </c>
      <c r="E11" s="3" t="s">
        <v>62</v>
      </c>
      <c r="F11" s="3">
        <v>3.0</v>
      </c>
      <c r="G11" s="4">
        <f t="shared" si="1"/>
        <v>30</v>
      </c>
    </row>
    <row r="12">
      <c r="A12" s="10">
        <v>45757.0</v>
      </c>
      <c r="C12" s="3" t="s">
        <v>68</v>
      </c>
      <c r="D12" s="3">
        <v>180.0</v>
      </c>
      <c r="E12" s="3" t="s">
        <v>62</v>
      </c>
      <c r="F12" s="3">
        <v>3.0</v>
      </c>
      <c r="G12" s="4">
        <f t="shared" si="1"/>
        <v>60</v>
      </c>
    </row>
    <row r="13">
      <c r="A13" s="10">
        <v>45757.0</v>
      </c>
      <c r="C13" s="3" t="s">
        <v>69</v>
      </c>
      <c r="D13" s="3">
        <v>140.0</v>
      </c>
      <c r="E13" s="3" t="s">
        <v>62</v>
      </c>
      <c r="F13" s="3">
        <v>3.0</v>
      </c>
      <c r="G13" s="4">
        <f t="shared" si="1"/>
        <v>46.66666667</v>
      </c>
    </row>
    <row r="14">
      <c r="A14" s="10">
        <v>45757.0</v>
      </c>
      <c r="C14" s="3" t="s">
        <v>70</v>
      </c>
      <c r="D14" s="3">
        <v>650.0</v>
      </c>
      <c r="E14" s="3" t="s">
        <v>11</v>
      </c>
      <c r="F14" s="3">
        <v>3.0</v>
      </c>
      <c r="G14" s="4">
        <f t="shared" si="1"/>
        <v>216.6666667</v>
      </c>
    </row>
    <row r="15">
      <c r="A15" s="10">
        <v>45757.0</v>
      </c>
      <c r="C15" s="3" t="s">
        <v>71</v>
      </c>
      <c r="D15" s="3">
        <v>90.0</v>
      </c>
      <c r="E15" s="3" t="s">
        <v>11</v>
      </c>
      <c r="F15" s="3">
        <v>3.0</v>
      </c>
      <c r="G15" s="4">
        <f t="shared" si="1"/>
        <v>30</v>
      </c>
    </row>
    <row r="16">
      <c r="A16" s="10">
        <v>45757.0</v>
      </c>
      <c r="C16" s="3" t="s">
        <v>72</v>
      </c>
      <c r="D16" s="3">
        <v>100.0</v>
      </c>
      <c r="E16" s="3" t="s">
        <v>58</v>
      </c>
      <c r="F16" s="3">
        <v>3.0</v>
      </c>
      <c r="G16" s="4">
        <f t="shared" si="1"/>
        <v>33.33333333</v>
      </c>
    </row>
    <row r="17">
      <c r="A17" s="10">
        <v>45757.0</v>
      </c>
      <c r="C17" s="3" t="s">
        <v>73</v>
      </c>
      <c r="D17" s="3">
        <v>240.0</v>
      </c>
      <c r="E17" s="3" t="s">
        <v>62</v>
      </c>
      <c r="F17" s="3">
        <v>3.0</v>
      </c>
      <c r="G17" s="4">
        <f t="shared" si="1"/>
        <v>80</v>
      </c>
    </row>
    <row r="18">
      <c r="A18" s="10">
        <v>45757.0</v>
      </c>
      <c r="C18" s="3" t="s">
        <v>74</v>
      </c>
      <c r="D18" s="4">
        <f>(10150/5)*3</f>
        <v>6090</v>
      </c>
      <c r="E18" s="3" t="s">
        <v>11</v>
      </c>
      <c r="F18" s="3">
        <v>3.0</v>
      </c>
      <c r="G18" s="4">
        <f t="shared" si="1"/>
        <v>2030</v>
      </c>
    </row>
    <row r="19">
      <c r="A19" s="10">
        <v>45757.0</v>
      </c>
      <c r="C19" s="3" t="s">
        <v>75</v>
      </c>
      <c r="D19" s="3">
        <v>564.0</v>
      </c>
      <c r="E19" s="3" t="s">
        <v>58</v>
      </c>
      <c r="F19" s="3">
        <v>3.0</v>
      </c>
      <c r="G19" s="4">
        <f t="shared" si="1"/>
        <v>188</v>
      </c>
    </row>
    <row r="20">
      <c r="A20" s="10">
        <v>45787.0</v>
      </c>
      <c r="C20" s="3" t="s">
        <v>76</v>
      </c>
      <c r="D20" s="3">
        <v>135.0</v>
      </c>
      <c r="E20" s="3" t="s">
        <v>62</v>
      </c>
      <c r="F20" s="3">
        <v>3.0</v>
      </c>
      <c r="G20" s="4">
        <f t="shared" si="1"/>
        <v>45</v>
      </c>
    </row>
    <row r="21">
      <c r="D21" s="3">
        <v>11629.0</v>
      </c>
      <c r="F21" s="3">
        <v>3.0</v>
      </c>
      <c r="G21" s="4">
        <f t="shared" si="1"/>
        <v>3876.333333</v>
      </c>
    </row>
    <row r="25">
      <c r="E25" s="3" t="s">
        <v>58</v>
      </c>
      <c r="F25" s="3" t="s">
        <v>62</v>
      </c>
      <c r="G25" s="3" t="s">
        <v>11</v>
      </c>
    </row>
    <row r="26">
      <c r="D26" s="3" t="s">
        <v>77</v>
      </c>
      <c r="E26" s="3">
        <v>3877.0</v>
      </c>
      <c r="F26" s="3">
        <v>3877.0</v>
      </c>
      <c r="G26" s="3">
        <v>3877.0</v>
      </c>
      <c r="H26" s="3">
        <v>11631.0</v>
      </c>
    </row>
    <row r="27">
      <c r="D27" s="3" t="s">
        <v>25</v>
      </c>
      <c r="E27" s="4">
        <f>11631-1120-8120</f>
        <v>2391</v>
      </c>
      <c r="F27" s="3">
        <v>1120.0</v>
      </c>
      <c r="G27" s="3">
        <v>8120.0</v>
      </c>
    </row>
    <row r="28">
      <c r="E28" s="4">
        <f t="shared" ref="E28:G28" si="2">E26-E27</f>
        <v>1486</v>
      </c>
      <c r="F28" s="4">
        <f t="shared" si="2"/>
        <v>2757</v>
      </c>
      <c r="G28" s="4">
        <f t="shared" si="2"/>
        <v>-4243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0">
        <v>45667.0</v>
      </c>
      <c r="C2" s="3" t="s">
        <v>78</v>
      </c>
      <c r="D2" s="3">
        <v>60.0</v>
      </c>
      <c r="E2" s="3" t="s">
        <v>58</v>
      </c>
      <c r="F2" s="3">
        <v>2.0</v>
      </c>
      <c r="G2" s="4">
        <f t="shared" ref="G2:G15" si="1">D2/F2</f>
        <v>30</v>
      </c>
    </row>
    <row r="3">
      <c r="A3" s="10">
        <v>45667.0</v>
      </c>
      <c r="C3" s="3" t="s">
        <v>79</v>
      </c>
      <c r="D3" s="3">
        <v>650.0</v>
      </c>
      <c r="E3" s="3" t="s">
        <v>58</v>
      </c>
      <c r="F3" s="3">
        <v>2.0</v>
      </c>
      <c r="G3" s="4">
        <f t="shared" si="1"/>
        <v>325</v>
      </c>
    </row>
    <row r="4">
      <c r="A4" s="10">
        <v>45667.0</v>
      </c>
      <c r="B4" s="3" t="s">
        <v>64</v>
      </c>
      <c r="C4" s="3" t="s">
        <v>80</v>
      </c>
      <c r="D4" s="3">
        <v>149.0</v>
      </c>
      <c r="E4" s="3" t="s">
        <v>11</v>
      </c>
      <c r="F4" s="3">
        <v>2.0</v>
      </c>
      <c r="G4" s="4">
        <f t="shared" si="1"/>
        <v>74.5</v>
      </c>
    </row>
    <row r="5">
      <c r="A5" s="10">
        <v>45667.0</v>
      </c>
      <c r="C5" s="3" t="s">
        <v>81</v>
      </c>
      <c r="D5" s="3">
        <f>600+112</f>
        <v>712</v>
      </c>
      <c r="E5" s="3" t="s">
        <v>11</v>
      </c>
      <c r="F5" s="3">
        <v>2.0</v>
      </c>
      <c r="G5" s="4">
        <f t="shared" si="1"/>
        <v>356</v>
      </c>
    </row>
    <row r="6">
      <c r="A6" s="10">
        <v>45667.0</v>
      </c>
      <c r="C6" s="3" t="s">
        <v>82</v>
      </c>
      <c r="D6" s="3">
        <v>140.0</v>
      </c>
      <c r="E6" s="3" t="s">
        <v>11</v>
      </c>
      <c r="F6" s="3">
        <v>2.0</v>
      </c>
      <c r="G6" s="4">
        <f t="shared" si="1"/>
        <v>70</v>
      </c>
    </row>
    <row r="7">
      <c r="A7" s="10">
        <v>45698.0</v>
      </c>
      <c r="B7" s="3" t="s">
        <v>83</v>
      </c>
      <c r="C7" s="3" t="s">
        <v>84</v>
      </c>
      <c r="D7" s="3">
        <f>118+212</f>
        <v>330</v>
      </c>
      <c r="E7" s="3" t="s">
        <v>58</v>
      </c>
      <c r="F7" s="3">
        <v>2.0</v>
      </c>
      <c r="G7" s="4">
        <f t="shared" si="1"/>
        <v>165</v>
      </c>
    </row>
    <row r="8">
      <c r="A8" s="10">
        <v>45698.0</v>
      </c>
      <c r="B8" s="3" t="s">
        <v>85</v>
      </c>
      <c r="C8" s="3" t="s">
        <v>86</v>
      </c>
      <c r="D8" s="3">
        <v>451.0</v>
      </c>
      <c r="E8" s="3" t="s">
        <v>58</v>
      </c>
      <c r="F8" s="3">
        <v>2.0</v>
      </c>
      <c r="G8" s="4">
        <f t="shared" si="1"/>
        <v>225.5</v>
      </c>
    </row>
    <row r="9">
      <c r="A9" s="10">
        <v>45698.0</v>
      </c>
      <c r="B9" s="3" t="s">
        <v>87</v>
      </c>
      <c r="C9" s="3" t="s">
        <v>88</v>
      </c>
      <c r="D9" s="3">
        <v>514.0</v>
      </c>
      <c r="E9" s="3" t="s">
        <v>58</v>
      </c>
      <c r="F9" s="3">
        <v>2.0</v>
      </c>
      <c r="G9" s="4">
        <f t="shared" si="1"/>
        <v>257</v>
      </c>
    </row>
    <row r="10">
      <c r="A10" s="10">
        <v>45698.0</v>
      </c>
      <c r="B10" s="3" t="s">
        <v>60</v>
      </c>
      <c r="C10" s="3" t="s">
        <v>89</v>
      </c>
      <c r="D10" s="3">
        <v>200.0</v>
      </c>
      <c r="E10" s="3" t="s">
        <v>11</v>
      </c>
      <c r="F10" s="3">
        <v>2.0</v>
      </c>
      <c r="G10" s="4">
        <f t="shared" si="1"/>
        <v>100</v>
      </c>
    </row>
    <row r="11">
      <c r="A11" s="10">
        <v>45698.0</v>
      </c>
      <c r="C11" s="3" t="s">
        <v>90</v>
      </c>
      <c r="D11" s="3">
        <v>40.0</v>
      </c>
      <c r="E11" s="3" t="s">
        <v>58</v>
      </c>
      <c r="F11" s="3">
        <v>2.0</v>
      </c>
      <c r="G11" s="4">
        <f t="shared" si="1"/>
        <v>20</v>
      </c>
    </row>
    <row r="12">
      <c r="A12" s="10">
        <v>45698.0</v>
      </c>
      <c r="B12" s="3" t="s">
        <v>91</v>
      </c>
      <c r="C12" s="3" t="s">
        <v>92</v>
      </c>
      <c r="D12" s="3">
        <v>360.0</v>
      </c>
      <c r="E12" s="3" t="s">
        <v>58</v>
      </c>
      <c r="F12" s="3">
        <v>2.0</v>
      </c>
      <c r="G12" s="4">
        <f t="shared" si="1"/>
        <v>180</v>
      </c>
    </row>
    <row r="13">
      <c r="A13" s="10">
        <v>45698.0</v>
      </c>
      <c r="C13" s="3" t="s">
        <v>93</v>
      </c>
      <c r="D13" s="3">
        <v>1000.0</v>
      </c>
      <c r="E13" s="3" t="s">
        <v>11</v>
      </c>
      <c r="F13" s="3">
        <v>2.0</v>
      </c>
      <c r="G13" s="4">
        <f t="shared" si="1"/>
        <v>500</v>
      </c>
    </row>
    <row r="14">
      <c r="A14" s="10">
        <v>45698.0</v>
      </c>
      <c r="B14" s="3" t="s">
        <v>87</v>
      </c>
      <c r="C14" s="3" t="s">
        <v>94</v>
      </c>
      <c r="D14" s="3">
        <v>475.0</v>
      </c>
      <c r="E14" s="3" t="s">
        <v>58</v>
      </c>
      <c r="F14" s="3">
        <v>2.0</v>
      </c>
      <c r="G14" s="4">
        <f t="shared" si="1"/>
        <v>237.5</v>
      </c>
    </row>
    <row r="15">
      <c r="A15" s="10">
        <v>45698.0</v>
      </c>
      <c r="B15" s="3" t="s">
        <v>83</v>
      </c>
      <c r="C15" s="3" t="s">
        <v>95</v>
      </c>
      <c r="D15" s="3">
        <v>250.0</v>
      </c>
      <c r="E15" s="3" t="s">
        <v>58</v>
      </c>
      <c r="F15" s="3">
        <v>2.0</v>
      </c>
      <c r="G15" s="4">
        <f t="shared" si="1"/>
        <v>125</v>
      </c>
    </row>
    <row r="20">
      <c r="D20" s="3" t="s">
        <v>58</v>
      </c>
      <c r="E20" s="3" t="s">
        <v>11</v>
      </c>
    </row>
    <row r="21">
      <c r="C21" s="3" t="s">
        <v>77</v>
      </c>
      <c r="D21" s="3">
        <v>2665.0</v>
      </c>
      <c r="E21" s="3">
        <v>2665.0</v>
      </c>
      <c r="F21" s="3">
        <v>5331.0</v>
      </c>
    </row>
    <row r="22">
      <c r="C22" s="3" t="s">
        <v>25</v>
      </c>
      <c r="D22" s="4">
        <f>F21-E22</f>
        <v>3130</v>
      </c>
      <c r="E22" s="3">
        <v>2201.0</v>
      </c>
    </row>
    <row r="23">
      <c r="D23" s="4">
        <f t="shared" ref="D23:E23" si="2">D21-D22</f>
        <v>-465</v>
      </c>
      <c r="E23" s="4">
        <f t="shared" si="2"/>
        <v>464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3" max="3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96</v>
      </c>
    </row>
    <row r="2">
      <c r="A2" s="10">
        <v>45941.0</v>
      </c>
      <c r="C2" s="3" t="s">
        <v>97</v>
      </c>
      <c r="D2" s="4">
        <f>86+45</f>
        <v>131</v>
      </c>
      <c r="E2" s="3" t="s">
        <v>11</v>
      </c>
      <c r="F2" s="3">
        <v>2.0</v>
      </c>
      <c r="G2" s="4">
        <f t="shared" ref="G2:G36" si="1">D2/F2</f>
        <v>65.5</v>
      </c>
    </row>
    <row r="3">
      <c r="A3" s="10">
        <v>45941.0</v>
      </c>
      <c r="C3" s="3" t="s">
        <v>98</v>
      </c>
      <c r="D3" s="3">
        <v>50.0</v>
      </c>
      <c r="E3" s="3" t="s">
        <v>12</v>
      </c>
      <c r="F3" s="3">
        <v>2.0</v>
      </c>
      <c r="G3" s="4">
        <f t="shared" si="1"/>
        <v>25</v>
      </c>
    </row>
    <row r="4">
      <c r="A4" s="10">
        <v>45941.0</v>
      </c>
      <c r="B4" s="3" t="s">
        <v>64</v>
      </c>
      <c r="C4" s="3" t="s">
        <v>99</v>
      </c>
      <c r="D4" s="3">
        <v>2165.0</v>
      </c>
      <c r="E4" s="3" t="s">
        <v>12</v>
      </c>
      <c r="F4" s="3">
        <v>2.0</v>
      </c>
      <c r="G4" s="4">
        <f t="shared" si="1"/>
        <v>1082.5</v>
      </c>
    </row>
    <row r="5">
      <c r="A5" s="10">
        <v>45941.0</v>
      </c>
      <c r="C5" s="3" t="s">
        <v>100</v>
      </c>
      <c r="D5" s="3">
        <v>435.0</v>
      </c>
      <c r="E5" s="3" t="s">
        <v>12</v>
      </c>
      <c r="F5" s="3">
        <v>2.0</v>
      </c>
      <c r="G5" s="4">
        <f t="shared" si="1"/>
        <v>217.5</v>
      </c>
    </row>
    <row r="6">
      <c r="A6" s="10">
        <v>45941.0</v>
      </c>
      <c r="C6" s="3" t="s">
        <v>101</v>
      </c>
      <c r="D6" s="3">
        <v>150.0</v>
      </c>
      <c r="E6" s="3" t="s">
        <v>12</v>
      </c>
      <c r="F6" s="3">
        <v>2.0</v>
      </c>
      <c r="G6" s="4">
        <f t="shared" si="1"/>
        <v>75</v>
      </c>
    </row>
    <row r="7">
      <c r="A7" s="10">
        <v>45941.0</v>
      </c>
      <c r="B7" s="3" t="s">
        <v>83</v>
      </c>
      <c r="C7" s="3" t="s">
        <v>102</v>
      </c>
      <c r="D7" s="3">
        <f>120+200</f>
        <v>320</v>
      </c>
      <c r="E7" s="3" t="s">
        <v>12</v>
      </c>
      <c r="F7" s="3">
        <v>2.0</v>
      </c>
      <c r="G7" s="4">
        <f t="shared" si="1"/>
        <v>160</v>
      </c>
    </row>
    <row r="8">
      <c r="A8" s="10">
        <v>45941.0</v>
      </c>
      <c r="B8" s="3" t="s">
        <v>85</v>
      </c>
      <c r="C8" s="3" t="s">
        <v>103</v>
      </c>
      <c r="D8" s="3">
        <f>50+60</f>
        <v>110</v>
      </c>
      <c r="E8" s="3" t="s">
        <v>12</v>
      </c>
      <c r="F8" s="3">
        <v>2.0</v>
      </c>
      <c r="G8" s="4">
        <f t="shared" si="1"/>
        <v>55</v>
      </c>
    </row>
    <row r="9">
      <c r="A9" s="10">
        <v>45941.0</v>
      </c>
      <c r="B9" s="3" t="s">
        <v>87</v>
      </c>
      <c r="C9" s="3" t="s">
        <v>104</v>
      </c>
      <c r="D9" s="4">
        <f>330+178</f>
        <v>508</v>
      </c>
      <c r="E9" s="3" t="s">
        <v>12</v>
      </c>
      <c r="F9" s="3">
        <v>2.0</v>
      </c>
      <c r="G9" s="4">
        <f t="shared" si="1"/>
        <v>254</v>
      </c>
    </row>
    <row r="10">
      <c r="A10" s="10">
        <v>45941.0</v>
      </c>
      <c r="B10" s="3" t="s">
        <v>60</v>
      </c>
      <c r="C10" s="3" t="s">
        <v>105</v>
      </c>
      <c r="D10" s="3">
        <v>168.0</v>
      </c>
      <c r="E10" s="3" t="s">
        <v>12</v>
      </c>
      <c r="F10" s="3">
        <v>2.0</v>
      </c>
      <c r="G10" s="4">
        <f t="shared" si="1"/>
        <v>84</v>
      </c>
    </row>
    <row r="11">
      <c r="A11" s="10">
        <v>45941.0</v>
      </c>
      <c r="C11" s="3" t="s">
        <v>106</v>
      </c>
      <c r="D11" s="3">
        <v>675.0</v>
      </c>
      <c r="E11" s="3" t="s">
        <v>12</v>
      </c>
      <c r="F11" s="3">
        <v>2.0</v>
      </c>
      <c r="G11" s="4">
        <f t="shared" si="1"/>
        <v>337.5</v>
      </c>
    </row>
    <row r="12">
      <c r="A12" s="10">
        <v>45941.0</v>
      </c>
      <c r="B12" s="3" t="s">
        <v>91</v>
      </c>
      <c r="C12" s="3" t="s">
        <v>107</v>
      </c>
      <c r="D12" s="4">
        <f>490+576</f>
        <v>1066</v>
      </c>
      <c r="E12" s="3" t="s">
        <v>12</v>
      </c>
      <c r="F12" s="3">
        <v>2.0</v>
      </c>
      <c r="G12" s="4">
        <f t="shared" si="1"/>
        <v>533</v>
      </c>
    </row>
    <row r="13">
      <c r="A13" s="10"/>
      <c r="B13" s="3"/>
      <c r="C13" s="3" t="s">
        <v>108</v>
      </c>
      <c r="D13" s="3">
        <v>230.0</v>
      </c>
      <c r="E13" s="3" t="s">
        <v>12</v>
      </c>
      <c r="F13" s="3">
        <v>2.0</v>
      </c>
      <c r="G13" s="4">
        <f t="shared" si="1"/>
        <v>115</v>
      </c>
    </row>
    <row r="14">
      <c r="A14" s="10">
        <v>45941.0</v>
      </c>
      <c r="C14" s="3" t="s">
        <v>109</v>
      </c>
      <c r="D14" s="3">
        <v>53.0</v>
      </c>
      <c r="E14" s="3" t="s">
        <v>12</v>
      </c>
      <c r="F14" s="3">
        <v>2.0</v>
      </c>
      <c r="G14" s="4">
        <f t="shared" si="1"/>
        <v>26.5</v>
      </c>
    </row>
    <row r="15">
      <c r="A15" s="10">
        <v>45942.0</v>
      </c>
      <c r="B15" s="3" t="s">
        <v>87</v>
      </c>
      <c r="C15" s="3" t="s">
        <v>110</v>
      </c>
      <c r="D15" s="3">
        <v>56.0</v>
      </c>
      <c r="E15" s="3" t="s">
        <v>12</v>
      </c>
      <c r="F15" s="3">
        <v>2.0</v>
      </c>
      <c r="G15" s="4">
        <f t="shared" si="1"/>
        <v>28</v>
      </c>
    </row>
    <row r="16">
      <c r="A16" s="10">
        <v>45942.0</v>
      </c>
      <c r="B16" s="3" t="s">
        <v>83</v>
      </c>
      <c r="C16" s="3" t="s">
        <v>111</v>
      </c>
      <c r="D16" s="3">
        <f>54+20+100</f>
        <v>174</v>
      </c>
      <c r="E16" s="3" t="s">
        <v>12</v>
      </c>
      <c r="F16" s="3">
        <v>2.0</v>
      </c>
      <c r="G16" s="4">
        <f t="shared" si="1"/>
        <v>87</v>
      </c>
    </row>
    <row r="17">
      <c r="C17" s="3" t="s">
        <v>112</v>
      </c>
      <c r="D17" s="3">
        <v>150.0</v>
      </c>
      <c r="E17" s="3" t="s">
        <v>12</v>
      </c>
      <c r="F17" s="3">
        <v>2.0</v>
      </c>
      <c r="G17" s="4">
        <f t="shared" si="1"/>
        <v>75</v>
      </c>
    </row>
    <row r="18">
      <c r="C18" s="3" t="s">
        <v>113</v>
      </c>
      <c r="D18" s="3">
        <v>100.0</v>
      </c>
      <c r="E18" s="3" t="s">
        <v>12</v>
      </c>
      <c r="F18" s="3">
        <v>2.0</v>
      </c>
      <c r="G18" s="4">
        <f t="shared" si="1"/>
        <v>50</v>
      </c>
    </row>
    <row r="19">
      <c r="C19" s="3" t="s">
        <v>114</v>
      </c>
      <c r="D19" s="3">
        <v>395.0</v>
      </c>
      <c r="E19" s="3" t="s">
        <v>12</v>
      </c>
      <c r="F19" s="3">
        <v>2.0</v>
      </c>
      <c r="G19" s="4">
        <f t="shared" si="1"/>
        <v>197.5</v>
      </c>
    </row>
    <row r="20">
      <c r="A20" s="10">
        <v>45942.0</v>
      </c>
      <c r="C20" s="3" t="s">
        <v>115</v>
      </c>
      <c r="D20" s="4">
        <f>4838-75</f>
        <v>4763</v>
      </c>
      <c r="E20" s="3" t="s">
        <v>11</v>
      </c>
      <c r="F20" s="3">
        <v>2.0</v>
      </c>
      <c r="G20" s="4">
        <f t="shared" si="1"/>
        <v>2381.5</v>
      </c>
    </row>
    <row r="21">
      <c r="A21" s="11">
        <v>45947.0</v>
      </c>
      <c r="B21" s="3" t="s">
        <v>116</v>
      </c>
      <c r="C21" s="3" t="s">
        <v>117</v>
      </c>
      <c r="D21" s="3">
        <v>4500.0</v>
      </c>
      <c r="E21" s="3" t="s">
        <v>12</v>
      </c>
      <c r="F21" s="3">
        <v>2.0</v>
      </c>
      <c r="G21" s="4">
        <f t="shared" si="1"/>
        <v>2250</v>
      </c>
    </row>
    <row r="22">
      <c r="A22" s="11">
        <v>45947.0</v>
      </c>
      <c r="C22" s="3" t="s">
        <v>118</v>
      </c>
      <c r="D22" s="3">
        <v>120.0</v>
      </c>
      <c r="E22" s="3" t="s">
        <v>11</v>
      </c>
      <c r="F22" s="3">
        <v>2.0</v>
      </c>
      <c r="G22" s="4">
        <f t="shared" si="1"/>
        <v>60</v>
      </c>
    </row>
    <row r="23">
      <c r="A23" s="11">
        <v>45947.0</v>
      </c>
      <c r="C23" s="3" t="s">
        <v>119</v>
      </c>
      <c r="D23" s="4">
        <f>980+240</f>
        <v>1220</v>
      </c>
      <c r="E23" s="3" t="s">
        <v>11</v>
      </c>
      <c r="F23" s="3">
        <v>2.0</v>
      </c>
      <c r="G23" s="4">
        <f t="shared" si="1"/>
        <v>610</v>
      </c>
    </row>
    <row r="24">
      <c r="A24" s="11"/>
      <c r="C24" s="3" t="s">
        <v>120</v>
      </c>
      <c r="D24" s="3">
        <v>200.0</v>
      </c>
      <c r="E24" s="3" t="s">
        <v>12</v>
      </c>
      <c r="F24" s="3">
        <v>2.0</v>
      </c>
      <c r="G24" s="4">
        <f t="shared" si="1"/>
        <v>100</v>
      </c>
    </row>
    <row r="25">
      <c r="A25" s="11">
        <v>45948.0</v>
      </c>
      <c r="C25" s="3" t="s">
        <v>121</v>
      </c>
      <c r="D25" s="3">
        <v>120.0</v>
      </c>
      <c r="E25" s="3" t="s">
        <v>12</v>
      </c>
      <c r="F25" s="3">
        <v>2.0</v>
      </c>
      <c r="G25" s="4">
        <f t="shared" si="1"/>
        <v>60</v>
      </c>
    </row>
    <row r="26">
      <c r="B26" s="3" t="s">
        <v>122</v>
      </c>
      <c r="C26" s="3" t="s">
        <v>123</v>
      </c>
      <c r="D26" s="3">
        <v>340.0</v>
      </c>
      <c r="E26" s="3" t="s">
        <v>11</v>
      </c>
      <c r="F26" s="3">
        <v>2.0</v>
      </c>
      <c r="G26" s="4">
        <f t="shared" si="1"/>
        <v>170</v>
      </c>
    </row>
    <row r="27">
      <c r="A27" s="11"/>
      <c r="B27" s="3"/>
      <c r="C27" s="3" t="s">
        <v>124</v>
      </c>
      <c r="D27" s="3">
        <f>60+400+60</f>
        <v>520</v>
      </c>
      <c r="E27" s="3" t="s">
        <v>12</v>
      </c>
      <c r="F27" s="3">
        <v>2.0</v>
      </c>
      <c r="G27" s="4">
        <f t="shared" si="1"/>
        <v>260</v>
      </c>
    </row>
    <row r="28">
      <c r="A28" s="11"/>
      <c r="B28" s="3"/>
      <c r="C28" s="3" t="s">
        <v>125</v>
      </c>
      <c r="D28" s="3">
        <v>150.0</v>
      </c>
      <c r="E28" s="3" t="s">
        <v>12</v>
      </c>
      <c r="F28" s="3">
        <v>2.0</v>
      </c>
      <c r="G28" s="4">
        <f t="shared" si="1"/>
        <v>75</v>
      </c>
    </row>
    <row r="29">
      <c r="A29" s="11">
        <v>45949.0</v>
      </c>
      <c r="B29" s="3" t="s">
        <v>126</v>
      </c>
      <c r="C29" s="3" t="s">
        <v>127</v>
      </c>
      <c r="D29" s="3">
        <v>217.0</v>
      </c>
      <c r="E29" s="3" t="s">
        <v>12</v>
      </c>
      <c r="F29" s="3">
        <v>2.0</v>
      </c>
      <c r="G29" s="4">
        <f t="shared" si="1"/>
        <v>108.5</v>
      </c>
    </row>
    <row r="30">
      <c r="A30" s="11">
        <v>45950.0</v>
      </c>
      <c r="C30" s="3" t="s">
        <v>128</v>
      </c>
      <c r="D30" s="3">
        <v>1100.0</v>
      </c>
      <c r="E30" s="3" t="s">
        <v>12</v>
      </c>
      <c r="F30" s="3">
        <v>2.0</v>
      </c>
      <c r="G30" s="4">
        <f t="shared" si="1"/>
        <v>550</v>
      </c>
    </row>
    <row r="31">
      <c r="A31" s="11">
        <v>45950.0</v>
      </c>
      <c r="C31" s="3" t="s">
        <v>129</v>
      </c>
      <c r="D31" s="3">
        <v>450.0</v>
      </c>
      <c r="E31" s="3" t="s">
        <v>11</v>
      </c>
      <c r="F31" s="3">
        <v>2.0</v>
      </c>
      <c r="G31" s="4">
        <f t="shared" si="1"/>
        <v>225</v>
      </c>
    </row>
    <row r="32">
      <c r="A32" s="10">
        <v>45967.0</v>
      </c>
      <c r="B32" s="3" t="s">
        <v>122</v>
      </c>
      <c r="C32" s="3" t="s">
        <v>130</v>
      </c>
      <c r="D32" s="3">
        <v>1220.0</v>
      </c>
      <c r="E32" s="3" t="s">
        <v>12</v>
      </c>
      <c r="F32" s="3">
        <v>1.0</v>
      </c>
      <c r="G32" s="4">
        <f t="shared" si="1"/>
        <v>1220</v>
      </c>
    </row>
    <row r="33">
      <c r="A33" s="10">
        <v>45968.0</v>
      </c>
      <c r="C33" s="3" t="s">
        <v>131</v>
      </c>
      <c r="D33" s="3">
        <v>1180.0</v>
      </c>
      <c r="E33" s="3" t="s">
        <v>12</v>
      </c>
      <c r="F33" s="3">
        <v>1.0</v>
      </c>
      <c r="G33" s="4">
        <f t="shared" si="1"/>
        <v>1180</v>
      </c>
    </row>
    <row r="34">
      <c r="C34" s="3" t="s">
        <v>132</v>
      </c>
      <c r="D34" s="3">
        <v>1180.0</v>
      </c>
      <c r="E34" s="3" t="s">
        <v>12</v>
      </c>
      <c r="F34" s="3">
        <v>1.0</v>
      </c>
      <c r="G34" s="4">
        <f t="shared" si="1"/>
        <v>1180</v>
      </c>
    </row>
    <row r="35">
      <c r="A35" s="11">
        <v>45969.0</v>
      </c>
      <c r="C35" s="3" t="s">
        <v>133</v>
      </c>
      <c r="D35" s="3">
        <f>45+200+360+220+50+160+280+1400+270+229</f>
        <v>3214</v>
      </c>
      <c r="E35" s="3" t="s">
        <v>12</v>
      </c>
      <c r="F35" s="3">
        <v>2.0</v>
      </c>
      <c r="G35" s="4">
        <f t="shared" si="1"/>
        <v>1607</v>
      </c>
      <c r="H35" s="3">
        <v>0.35</v>
      </c>
      <c r="I35" s="4">
        <f t="shared" ref="I35:I37" si="2">D35*H35</f>
        <v>1124.9</v>
      </c>
    </row>
    <row r="36">
      <c r="A36" s="11">
        <v>45970.0</v>
      </c>
      <c r="C36" s="3" t="s">
        <v>134</v>
      </c>
      <c r="D36" s="4">
        <f>520+200+440+160+314+510+130</f>
        <v>2274</v>
      </c>
      <c r="E36" s="3" t="s">
        <v>12</v>
      </c>
      <c r="F36" s="3">
        <v>2.0</v>
      </c>
      <c r="G36" s="4">
        <f t="shared" si="1"/>
        <v>1137</v>
      </c>
      <c r="H36" s="3">
        <v>0.35</v>
      </c>
      <c r="I36" s="4">
        <f t="shared" si="2"/>
        <v>795.9</v>
      </c>
    </row>
    <row r="37">
      <c r="A37" s="11">
        <v>45971.0</v>
      </c>
      <c r="C37" s="3" t="s">
        <v>135</v>
      </c>
      <c r="D37" s="4">
        <f>100+82+360+170+170+30+70+300+30+20</f>
        <v>1332</v>
      </c>
      <c r="E37" s="3" t="s">
        <v>12</v>
      </c>
      <c r="H37" s="3">
        <v>0.35</v>
      </c>
      <c r="I37" s="4">
        <f t="shared" si="2"/>
        <v>466.2</v>
      </c>
    </row>
    <row r="40">
      <c r="A40" s="11">
        <v>45950.0</v>
      </c>
      <c r="B40" s="3" t="s">
        <v>136</v>
      </c>
      <c r="C40" s="3" t="s">
        <v>137</v>
      </c>
      <c r="D40" s="4">
        <f>2170</f>
        <v>2170</v>
      </c>
      <c r="E40" s="3" t="s">
        <v>11</v>
      </c>
      <c r="F40" s="3">
        <v>3.0</v>
      </c>
    </row>
    <row r="41">
      <c r="A41" s="11">
        <v>45950.0</v>
      </c>
      <c r="B41" s="3" t="s">
        <v>136</v>
      </c>
      <c r="C41" s="3" t="s">
        <v>138</v>
      </c>
      <c r="D41" s="4">
        <f>90+100</f>
        <v>190</v>
      </c>
      <c r="E41" s="3"/>
      <c r="F41" s="3"/>
    </row>
    <row r="42">
      <c r="A42" s="11">
        <v>45951.0</v>
      </c>
      <c r="B42" s="3" t="s">
        <v>139</v>
      </c>
      <c r="C42" s="3" t="s">
        <v>140</v>
      </c>
      <c r="D42" s="4">
        <f>120+100</f>
        <v>220</v>
      </c>
    </row>
    <row r="43">
      <c r="A43" s="11"/>
      <c r="B43" s="3" t="s">
        <v>139</v>
      </c>
      <c r="C43" s="3"/>
    </row>
    <row r="44">
      <c r="A44" s="11">
        <v>45952.0</v>
      </c>
      <c r="C44" s="3" t="s">
        <v>141</v>
      </c>
      <c r="D44" s="4">
        <f>700+820</f>
        <v>1520</v>
      </c>
      <c r="E44" s="3" t="s">
        <v>142</v>
      </c>
      <c r="F44" s="3">
        <v>3.0</v>
      </c>
    </row>
    <row r="45">
      <c r="A45" s="11"/>
      <c r="C45" s="3" t="s">
        <v>143</v>
      </c>
      <c r="E45" s="3"/>
      <c r="F45" s="3"/>
    </row>
    <row r="46">
      <c r="A46" s="11">
        <v>45954.0</v>
      </c>
      <c r="C46" s="3" t="s">
        <v>144</v>
      </c>
      <c r="D46" s="4">
        <f>480+115+70</f>
        <v>665</v>
      </c>
      <c r="E46" s="3" t="s">
        <v>11</v>
      </c>
      <c r="F46" s="3">
        <v>3.0</v>
      </c>
    </row>
    <row r="53">
      <c r="D53" s="3" t="s">
        <v>145</v>
      </c>
      <c r="E53" s="3" t="s">
        <v>11</v>
      </c>
    </row>
    <row r="54">
      <c r="C54" s="3" t="s">
        <v>77</v>
      </c>
      <c r="D54" s="3">
        <v>10318.0</v>
      </c>
      <c r="E54" s="3">
        <v>10318.0</v>
      </c>
    </row>
    <row r="55">
      <c r="C55" s="3" t="s">
        <v>25</v>
      </c>
      <c r="D55" s="3">
        <v>13612.0</v>
      </c>
      <c r="E55" s="3">
        <v>7024.0</v>
      </c>
    </row>
    <row r="56">
      <c r="D56" s="4">
        <f t="shared" ref="D56:E56" si="3">D54-D55</f>
        <v>-3294</v>
      </c>
      <c r="E56" s="4">
        <f t="shared" si="3"/>
        <v>3294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">
        <v>45850.0</v>
      </c>
      <c r="B2" s="3">
        <v>1.2472838439E10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150</v>
      </c>
      <c r="H2" s="3">
        <v>32.0</v>
      </c>
      <c r="I2" s="13">
        <v>3227.53</v>
      </c>
      <c r="J2" s="3"/>
      <c r="K2" s="3"/>
      <c r="L2" s="3"/>
      <c r="M2" s="3"/>
      <c r="N2" s="3"/>
      <c r="O2" s="3"/>
      <c r="P2" s="3"/>
      <c r="Q2" s="3"/>
    </row>
    <row r="3">
      <c r="A3" s="12">
        <v>45850.0</v>
      </c>
      <c r="B3" s="3">
        <v>1.2473244501E10</v>
      </c>
      <c r="C3" s="3" t="s">
        <v>151</v>
      </c>
      <c r="D3" s="3" t="s">
        <v>152</v>
      </c>
      <c r="E3" s="3" t="s">
        <v>153</v>
      </c>
      <c r="F3" s="3" t="s">
        <v>150</v>
      </c>
      <c r="H3" s="3">
        <v>17.0</v>
      </c>
      <c r="I3" s="13">
        <v>1756.0</v>
      </c>
      <c r="J3" s="3"/>
      <c r="K3" s="3"/>
      <c r="L3" s="3"/>
      <c r="M3" s="3"/>
      <c r="N3" s="3"/>
      <c r="O3" s="3"/>
      <c r="P3" s="3"/>
      <c r="Q3" s="3"/>
    </row>
    <row r="4">
      <c r="A4" s="12">
        <v>45820.0</v>
      </c>
      <c r="B4" s="3">
        <v>1.2473267198E10</v>
      </c>
      <c r="C4" s="3" t="s">
        <v>154</v>
      </c>
      <c r="D4" s="3" t="s">
        <v>155</v>
      </c>
      <c r="E4" s="3" t="s">
        <v>156</v>
      </c>
      <c r="F4" s="3" t="s">
        <v>157</v>
      </c>
      <c r="G4" s="3" t="s">
        <v>158</v>
      </c>
      <c r="H4" s="3">
        <v>5.0</v>
      </c>
      <c r="I4" s="3">
        <v>199.0</v>
      </c>
      <c r="K4" s="3"/>
      <c r="L4" s="3"/>
      <c r="M4" s="3"/>
      <c r="N4" s="3"/>
      <c r="O4" s="3"/>
      <c r="P4" s="3"/>
      <c r="Q4" s="3"/>
    </row>
    <row r="5">
      <c r="A5" s="12">
        <v>45912.0</v>
      </c>
      <c r="B5" s="3">
        <v>1.2489272493E10</v>
      </c>
      <c r="C5" s="3" t="s">
        <v>159</v>
      </c>
      <c r="D5" s="3" t="s">
        <v>160</v>
      </c>
      <c r="E5" s="3" t="s">
        <v>161</v>
      </c>
      <c r="F5" s="3" t="s">
        <v>162</v>
      </c>
      <c r="G5" s="3" t="s">
        <v>163</v>
      </c>
      <c r="H5" s="3">
        <v>63.0</v>
      </c>
      <c r="I5" s="13">
        <v>6364.0</v>
      </c>
      <c r="K5" s="3"/>
      <c r="L5" s="3"/>
      <c r="M5" s="3"/>
      <c r="N5" s="3"/>
      <c r="O5" s="3"/>
      <c r="P5" s="3"/>
      <c r="Q5" s="3"/>
    </row>
    <row r="6">
      <c r="A6" s="3" t="s">
        <v>164</v>
      </c>
      <c r="B6" s="3">
        <v>1.2545056684E10</v>
      </c>
      <c r="C6" s="3" t="s">
        <v>165</v>
      </c>
      <c r="D6" s="3" t="s">
        <v>166</v>
      </c>
      <c r="E6" s="3" t="s">
        <v>148</v>
      </c>
      <c r="F6" s="3" t="s">
        <v>149</v>
      </c>
      <c r="G6" s="3" t="s">
        <v>150</v>
      </c>
      <c r="H6" s="3">
        <v>-30.0</v>
      </c>
      <c r="I6" s="13">
        <v>3060.0</v>
      </c>
      <c r="J6" s="3" t="s">
        <v>167</v>
      </c>
      <c r="K6" s="3"/>
      <c r="L6" s="3"/>
      <c r="M6" s="3"/>
      <c r="N6" s="3"/>
      <c r="O6" s="3"/>
      <c r="P6" s="3"/>
      <c r="Q6" s="3"/>
    </row>
    <row r="7">
      <c r="A7" s="3" t="s">
        <v>168</v>
      </c>
      <c r="B7" s="3">
        <v>1.2561703617E10</v>
      </c>
      <c r="C7" s="3" t="s">
        <v>169</v>
      </c>
      <c r="D7" s="3" t="s">
        <v>170</v>
      </c>
      <c r="E7" s="3" t="s">
        <v>171</v>
      </c>
      <c r="H7" s="3">
        <v>0.0</v>
      </c>
      <c r="I7" s="13">
        <v>41000.0</v>
      </c>
      <c r="J7" s="3" t="s">
        <v>167</v>
      </c>
      <c r="K7" s="3"/>
      <c r="L7" s="3"/>
      <c r="M7" s="3"/>
      <c r="N7" s="3"/>
      <c r="O7" s="3"/>
      <c r="P7" s="3"/>
      <c r="Q7" s="3"/>
    </row>
    <row r="8">
      <c r="A8" s="3" t="s">
        <v>172</v>
      </c>
      <c r="B8" s="3">
        <v>1.2564396087E10</v>
      </c>
      <c r="C8" s="3" t="s">
        <v>173</v>
      </c>
      <c r="D8" s="3" t="s">
        <v>174</v>
      </c>
      <c r="E8" s="3"/>
      <c r="F8" s="3"/>
      <c r="G8" s="3">
        <v>23.6</v>
      </c>
      <c r="I8" s="13">
        <v>2181.35</v>
      </c>
      <c r="J8" s="3"/>
      <c r="K8" s="3"/>
      <c r="L8" s="3"/>
      <c r="M8" s="3"/>
      <c r="N8" s="3"/>
      <c r="O8" s="3"/>
      <c r="P8" s="3"/>
      <c r="Q8" s="3"/>
    </row>
    <row r="9">
      <c r="E9" s="3"/>
      <c r="F9" s="3"/>
      <c r="J9" s="3"/>
      <c r="K9" s="3"/>
      <c r="L9" s="3"/>
      <c r="M9" s="3"/>
      <c r="N9" s="3"/>
      <c r="O9" s="3"/>
      <c r="P9" s="3"/>
      <c r="Q9" s="3"/>
    </row>
    <row r="10">
      <c r="A10" s="3" t="s">
        <v>175</v>
      </c>
      <c r="B10" s="3">
        <v>1.2566895062E10</v>
      </c>
      <c r="C10" s="3" t="s">
        <v>169</v>
      </c>
      <c r="D10" s="3" t="s">
        <v>170</v>
      </c>
      <c r="E10" s="3" t="s">
        <v>171</v>
      </c>
      <c r="F10" s="3">
        <v>0.0</v>
      </c>
      <c r="I10" s="13">
        <v>3000.0</v>
      </c>
      <c r="J10" s="3" t="s">
        <v>167</v>
      </c>
      <c r="K10" s="3"/>
      <c r="L10" s="3"/>
      <c r="M10" s="3"/>
      <c r="N10" s="3"/>
      <c r="O10" s="3"/>
      <c r="P10" s="3"/>
      <c r="Q10" s="3"/>
    </row>
    <row r="11">
      <c r="A11" s="3" t="s">
        <v>176</v>
      </c>
      <c r="B11" s="3">
        <v>1.2578292759E10</v>
      </c>
      <c r="C11" s="3" t="s">
        <v>169</v>
      </c>
      <c r="D11" s="3" t="s">
        <v>170</v>
      </c>
      <c r="E11" s="3" t="s">
        <v>171</v>
      </c>
      <c r="F11" s="3">
        <v>0.0</v>
      </c>
      <c r="I11" s="13">
        <v>50150.0</v>
      </c>
      <c r="J11" s="3" t="s">
        <v>167</v>
      </c>
      <c r="K11" s="3"/>
      <c r="L11" s="3"/>
      <c r="M11" s="3"/>
      <c r="N11" s="3"/>
      <c r="O11" s="3"/>
      <c r="P11" s="3"/>
      <c r="Q11" s="3"/>
    </row>
    <row r="12">
      <c r="A12" s="3" t="s">
        <v>177</v>
      </c>
      <c r="B12" s="3">
        <v>1.2580449447E10</v>
      </c>
      <c r="C12" s="3" t="s">
        <v>154</v>
      </c>
      <c r="D12" s="3" t="s">
        <v>178</v>
      </c>
      <c r="E12" s="3" t="s">
        <v>155</v>
      </c>
      <c r="F12" s="3" t="s">
        <v>179</v>
      </c>
      <c r="G12" s="3" t="s">
        <v>180</v>
      </c>
      <c r="H12" s="3">
        <v>5.0</v>
      </c>
      <c r="I12" s="3">
        <v>509.79</v>
      </c>
      <c r="K12" s="3"/>
      <c r="L12" s="3"/>
      <c r="M12" s="3"/>
      <c r="N12" s="3"/>
      <c r="O12" s="3"/>
      <c r="P12" s="3"/>
      <c r="Q12" s="3"/>
    </row>
    <row r="13">
      <c r="A13" s="3" t="s">
        <v>177</v>
      </c>
      <c r="B13" s="3">
        <v>1.258051891E10</v>
      </c>
      <c r="C13" s="3" t="s">
        <v>181</v>
      </c>
      <c r="D13" s="3" t="s">
        <v>182</v>
      </c>
      <c r="E13" s="3" t="s">
        <v>183</v>
      </c>
      <c r="F13" s="3" t="s">
        <v>184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9">
      <c r="A19" s="3" t="s">
        <v>176</v>
      </c>
      <c r="B19" s="3">
        <v>1.2584766124E10</v>
      </c>
      <c r="C19" s="3" t="s">
        <v>185</v>
      </c>
      <c r="D19" s="3" t="s">
        <v>186</v>
      </c>
      <c r="E19" s="3" t="s">
        <v>187</v>
      </c>
      <c r="F19" s="3" t="s">
        <v>188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3">
      <c r="A23" s="3" t="s">
        <v>176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I24" s="13">
        <v>51565.0</v>
      </c>
    </row>
    <row r="25">
      <c r="A25" s="3" t="s">
        <v>176</v>
      </c>
      <c r="B25" s="3">
        <v>1.2586003145E10</v>
      </c>
      <c r="C25" s="3" t="s">
        <v>181</v>
      </c>
      <c r="D25" s="3" t="s">
        <v>182</v>
      </c>
      <c r="E25" s="3" t="s">
        <v>183</v>
      </c>
      <c r="F25" s="3" t="s">
        <v>184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30">
      <c r="A30" s="3" t="s">
        <v>177</v>
      </c>
      <c r="B30" s="3">
        <v>1.2586139529E10</v>
      </c>
      <c r="C30" s="3" t="s">
        <v>189</v>
      </c>
      <c r="D30" s="3" t="s">
        <v>190</v>
      </c>
      <c r="E30" s="3" t="s">
        <v>191</v>
      </c>
      <c r="F30" s="3" t="s">
        <v>150</v>
      </c>
      <c r="H30" s="3">
        <v>5.0</v>
      </c>
      <c r="I30" s="3">
        <v>582.22</v>
      </c>
      <c r="J30" s="3"/>
      <c r="K30" s="3"/>
      <c r="L30" s="3"/>
      <c r="M30" s="3"/>
      <c r="N30" s="3"/>
      <c r="O30" s="3"/>
      <c r="P30" s="3"/>
      <c r="Q30" s="3"/>
    </row>
    <row r="31">
      <c r="A31" s="3" t="s">
        <v>192</v>
      </c>
      <c r="B31" s="3">
        <v>1.2586521713E10</v>
      </c>
      <c r="C31" s="3" t="s">
        <v>193</v>
      </c>
      <c r="D31" s="3" t="s">
        <v>194</v>
      </c>
      <c r="E31" s="3" t="s">
        <v>195</v>
      </c>
      <c r="F31" s="3" t="s">
        <v>196</v>
      </c>
      <c r="H31" s="3">
        <v>0.0</v>
      </c>
      <c r="I31" s="3">
        <v>515.65</v>
      </c>
      <c r="J31" s="3"/>
      <c r="K31" s="3"/>
      <c r="L31" s="3"/>
      <c r="M31" s="3"/>
      <c r="N31" s="3"/>
    </row>
    <row r="32">
      <c r="A32" s="3" t="s">
        <v>192</v>
      </c>
      <c r="B32" s="3">
        <v>1.2586521714E10</v>
      </c>
      <c r="C32" s="3" t="s">
        <v>197</v>
      </c>
      <c r="D32" s="3">
        <v>0.0</v>
      </c>
      <c r="E32" s="3">
        <v>92.82</v>
      </c>
      <c r="F32" s="3"/>
      <c r="G32" s="3"/>
      <c r="H32" s="3"/>
      <c r="I32" s="3"/>
      <c r="J32" s="3"/>
      <c r="K32" s="3"/>
      <c r="L32" s="3"/>
      <c r="M32" s="3"/>
      <c r="N32" s="3"/>
    </row>
    <row r="33">
      <c r="A33" s="3" t="s">
        <v>198</v>
      </c>
      <c r="B33" s="3">
        <v>1.2592981785E10</v>
      </c>
      <c r="C33" s="3" t="s">
        <v>199</v>
      </c>
      <c r="D33" s="3" t="s">
        <v>3</v>
      </c>
      <c r="E33" s="3" t="s">
        <v>200</v>
      </c>
      <c r="F33" s="3" t="s">
        <v>201</v>
      </c>
      <c r="G33" s="3" t="s">
        <v>202</v>
      </c>
      <c r="H33" s="3">
        <v>0.0</v>
      </c>
      <c r="I33" s="3">
        <v>14.22</v>
      </c>
      <c r="K33" s="3"/>
      <c r="L33" s="3"/>
      <c r="M33" s="3"/>
      <c r="N33" s="3"/>
    </row>
    <row r="34">
      <c r="A34" s="3" t="s">
        <v>198</v>
      </c>
      <c r="B34" s="3">
        <v>1.2592981797E10</v>
      </c>
      <c r="C34" s="3" t="s">
        <v>197</v>
      </c>
      <c r="D34" s="3">
        <v>0.0</v>
      </c>
      <c r="E34" s="3">
        <v>2.56</v>
      </c>
      <c r="F34" s="3"/>
      <c r="G34" s="3"/>
      <c r="H34" s="3"/>
      <c r="I34" s="3"/>
      <c r="J34" s="3"/>
      <c r="K34" s="3"/>
      <c r="L34" s="3"/>
      <c r="M34" s="3"/>
      <c r="N34" s="3"/>
    </row>
    <row r="35">
      <c r="A35" s="3" t="s">
        <v>198</v>
      </c>
      <c r="B35" s="3">
        <v>1.259298182E10</v>
      </c>
      <c r="C35" s="3" t="s">
        <v>203</v>
      </c>
      <c r="D35" s="3" t="s">
        <v>3</v>
      </c>
      <c r="E35" s="3" t="s">
        <v>200</v>
      </c>
      <c r="F35" s="3" t="s">
        <v>201</v>
      </c>
      <c r="G35" s="3" t="s">
        <v>202</v>
      </c>
      <c r="H35" s="3">
        <v>0.0</v>
      </c>
      <c r="I35" s="3">
        <v>530.05</v>
      </c>
      <c r="K35" s="3"/>
      <c r="L35" s="3"/>
      <c r="M35" s="3"/>
      <c r="N35" s="3"/>
    </row>
    <row r="36">
      <c r="A36" s="3" t="s">
        <v>204</v>
      </c>
      <c r="B36" s="3">
        <v>1.260357004E10</v>
      </c>
      <c r="C36" s="3" t="s">
        <v>181</v>
      </c>
      <c r="D36" s="3" t="s">
        <v>182</v>
      </c>
      <c r="E36" s="3" t="s">
        <v>183</v>
      </c>
      <c r="F36" s="3" t="s">
        <v>184</v>
      </c>
      <c r="G36" s="3" t="s">
        <v>150</v>
      </c>
      <c r="H36" s="3">
        <v>1.0</v>
      </c>
      <c r="I36" s="3">
        <v>165.0</v>
      </c>
      <c r="J36" s="3"/>
      <c r="K36" s="3"/>
      <c r="L36" s="3"/>
      <c r="M36" s="3"/>
      <c r="N36" s="3"/>
    </row>
    <row r="37">
      <c r="A37" s="3" t="s">
        <v>205</v>
      </c>
      <c r="B37" s="3">
        <v>1.2607417938E10</v>
      </c>
      <c r="C37" s="3" t="s">
        <v>169</v>
      </c>
      <c r="D37" s="3" t="s">
        <v>170</v>
      </c>
      <c r="E37" s="3" t="s">
        <v>171</v>
      </c>
      <c r="I37" s="13">
        <v>5000.0</v>
      </c>
      <c r="J37" s="3" t="s">
        <v>167</v>
      </c>
      <c r="K37" s="3"/>
      <c r="L37" s="3"/>
      <c r="M37" s="3"/>
      <c r="N37" s="3"/>
    </row>
    <row r="38">
      <c r="A38" s="3" t="s">
        <v>205</v>
      </c>
      <c r="B38" s="3">
        <v>1.2621278915E10</v>
      </c>
      <c r="C38" s="3" t="s">
        <v>181</v>
      </c>
      <c r="D38" s="3" t="s">
        <v>182</v>
      </c>
      <c r="E38" s="3" t="s">
        <v>183</v>
      </c>
      <c r="F38" s="3" t="s">
        <v>184</v>
      </c>
      <c r="G38" s="3" t="s">
        <v>150</v>
      </c>
      <c r="H38" s="3">
        <v>1.0</v>
      </c>
      <c r="I38" s="3">
        <v>157.0</v>
      </c>
      <c r="J38" s="3"/>
      <c r="K38" s="3"/>
      <c r="L38" s="3"/>
      <c r="M38" s="3"/>
      <c r="N38" s="3"/>
    </row>
    <row r="39">
      <c r="A39" s="12">
        <v>46023.0</v>
      </c>
      <c r="B39" s="3">
        <v>1.2621433328E10</v>
      </c>
      <c r="C39" s="3" t="s">
        <v>181</v>
      </c>
      <c r="D39" s="3" t="s">
        <v>182</v>
      </c>
      <c r="E39" s="3" t="s">
        <v>183</v>
      </c>
      <c r="F39" s="3" t="s">
        <v>184</v>
      </c>
      <c r="G39" s="3" t="s">
        <v>150</v>
      </c>
      <c r="H39" s="3">
        <v>3.0</v>
      </c>
      <c r="I39" s="3">
        <v>314.0</v>
      </c>
      <c r="J39" s="3"/>
      <c r="K39" s="3"/>
      <c r="L39" s="3"/>
      <c r="M39" s="3"/>
      <c r="N39" s="3"/>
    </row>
    <row r="40">
      <c r="A40" s="12">
        <v>46113.0</v>
      </c>
      <c r="B40" s="3">
        <v>1.2639508914E10</v>
      </c>
      <c r="C40" s="3" t="s">
        <v>206</v>
      </c>
      <c r="D40" s="3" t="s">
        <v>207</v>
      </c>
      <c r="E40" s="3" t="s">
        <v>157</v>
      </c>
      <c r="F40" s="3" t="s">
        <v>158</v>
      </c>
      <c r="G40" s="3" t="s">
        <v>150</v>
      </c>
      <c r="H40" s="3">
        <v>0.0</v>
      </c>
      <c r="I40" s="3">
        <v>649.0</v>
      </c>
      <c r="J40" s="3"/>
      <c r="K40" s="3"/>
      <c r="L40" s="3"/>
      <c r="M40" s="3"/>
      <c r="N40" s="3"/>
    </row>
    <row r="41">
      <c r="A41" s="12">
        <v>46113.0</v>
      </c>
      <c r="B41" s="3">
        <v>1.2639950179E10</v>
      </c>
      <c r="C41" s="3" t="s">
        <v>208</v>
      </c>
      <c r="D41" s="3" t="s">
        <v>209</v>
      </c>
      <c r="E41" s="3" t="s">
        <v>156</v>
      </c>
      <c r="F41" s="3" t="s">
        <v>163</v>
      </c>
      <c r="G41" s="3" t="s">
        <v>150</v>
      </c>
      <c r="H41" s="3">
        <v>2.0</v>
      </c>
      <c r="I41" s="3">
        <v>204.0</v>
      </c>
      <c r="J41" s="3"/>
      <c r="K41" s="3"/>
      <c r="L41" s="3"/>
      <c r="M41" s="3"/>
      <c r="N41" s="3"/>
    </row>
    <row r="95">
      <c r="O95" s="3"/>
      <c r="P95" s="3"/>
      <c r="Q95" s="3"/>
    </row>
    <row r="96">
      <c r="O96" s="3"/>
      <c r="P96" s="3"/>
      <c r="Q96" s="3"/>
    </row>
    <row r="97">
      <c r="O97" s="3"/>
      <c r="P97" s="3"/>
      <c r="Q97" s="3"/>
    </row>
    <row r="98">
      <c r="O98" s="3"/>
      <c r="P98" s="3"/>
      <c r="Q98" s="3"/>
    </row>
    <row r="99">
      <c r="O99" s="3"/>
      <c r="P99" s="3"/>
      <c r="Q99" s="3"/>
    </row>
    <row r="100">
      <c r="O100" s="3"/>
      <c r="P100" s="3"/>
      <c r="Q100" s="3"/>
    </row>
    <row r="101">
      <c r="O101" s="3"/>
      <c r="P101" s="3"/>
      <c r="Q101" s="3"/>
    </row>
    <row r="102">
      <c r="O102" s="3"/>
      <c r="P102" s="3"/>
      <c r="Q102" s="3"/>
    </row>
    <row r="103">
      <c r="O103" s="3"/>
      <c r="P103" s="3"/>
      <c r="Q103" s="3"/>
    </row>
    <row r="104">
      <c r="O104" s="3"/>
      <c r="P104" s="3"/>
      <c r="Q104" s="3"/>
    </row>
    <row r="105">
      <c r="O105" s="3"/>
      <c r="P105" s="3"/>
      <c r="Q105" s="3"/>
    </row>
  </sheetData>
  <drawing r:id="rId1"/>
</worksheet>
</file>